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RI LALITHA\BUSINESS ANALYST\TAGGING COMPANIES\ECOMMERCE\MEESHO\MY HANDS ON WORK\"/>
    </mc:Choice>
  </mc:AlternateContent>
  <xr:revisionPtr revIDLastSave="0" documentId="13_ncr:1_{86FCB5C1-67FF-4CA0-BE6F-8861D4CB9E29}" xr6:coauthVersionLast="47" xr6:coauthVersionMax="47" xr10:uidLastSave="{00000000-0000-0000-0000-000000000000}"/>
  <bookViews>
    <workbookView xWindow="-108" yWindow="-108" windowWidth="23256" windowHeight="12456" firstSheet="2" activeTab="4" xr2:uid="{B3DA93C2-698A-4B7B-80BA-AFD884ACB708}"/>
  </bookViews>
  <sheets>
    <sheet name="Pivot_Sales_Category" sheetId="2" r:id="rId1"/>
    <sheet name="Pivot_Orders_Category" sheetId="3" r:id="rId2"/>
    <sheet name="Pivot_Sales_State" sheetId="4" r:id="rId3"/>
    <sheet name="Pivot_Order_Status" sheetId="5" r:id="rId4"/>
    <sheet name="meesho_order_data_2025_50rows" sheetId="1" r:id="rId5"/>
  </sheets>
  <definedNames>
    <definedName name="_xlnm._FilterDatabase" localSheetId="4" hidden="1">meesho_order_data_2025_50rows!$A$1:$Z$51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29" i="1" l="1"/>
  <c r="Q34" i="1"/>
  <c r="Q9" i="1"/>
  <c r="Q29" i="1"/>
  <c r="Q25" i="1"/>
  <c r="Q32" i="1"/>
  <c r="Q47" i="1"/>
  <c r="Q45" i="1"/>
  <c r="Q19" i="1"/>
  <c r="Q5" i="1"/>
  <c r="Q8" i="1"/>
  <c r="Q31" i="1"/>
  <c r="Q16" i="1"/>
  <c r="Q10" i="1"/>
  <c r="Q23" i="1"/>
  <c r="Q46" i="1"/>
  <c r="Q41" i="1"/>
  <c r="Q38" i="1"/>
  <c r="Q33" i="1"/>
  <c r="Q15" i="1"/>
  <c r="Q30" i="1"/>
  <c r="Q51" i="1"/>
  <c r="Q11" i="1"/>
  <c r="Q3" i="1"/>
  <c r="Q2" i="1"/>
  <c r="Q44" i="1"/>
  <c r="Q20" i="1"/>
  <c r="Q17" i="1"/>
  <c r="Q28" i="1"/>
  <c r="Q21" i="1"/>
  <c r="Q12" i="1"/>
  <c r="Q13" i="1"/>
  <c r="Q6" i="1"/>
  <c r="Q24" i="1"/>
  <c r="Q35" i="1"/>
  <c r="Q18" i="1"/>
  <c r="Q40" i="1"/>
  <c r="Q37" i="1"/>
  <c r="Q7" i="1"/>
  <c r="Q4" i="1"/>
  <c r="Q14" i="1"/>
  <c r="Q26" i="1"/>
  <c r="Q22" i="1"/>
  <c r="Q39" i="1"/>
  <c r="Q49" i="1"/>
  <c r="Q42" i="1"/>
  <c r="Q50" i="1"/>
  <c r="Q43" i="1"/>
  <c r="Q36" i="1"/>
  <c r="Q27" i="1"/>
  <c r="Q48" i="1"/>
  <c r="Z27" i="1"/>
  <c r="Z46" i="1"/>
  <c r="Z41" i="1"/>
  <c r="Z38" i="1"/>
  <c r="Z33" i="1"/>
  <c r="Z15" i="1"/>
  <c r="Z30" i="1"/>
  <c r="Z51" i="1"/>
  <c r="Z11" i="1"/>
  <c r="Z3" i="1"/>
  <c r="Z2" i="1"/>
  <c r="Z44" i="1"/>
  <c r="Z20" i="1"/>
  <c r="Z17" i="1"/>
  <c r="Z28" i="1"/>
  <c r="Z21" i="1"/>
  <c r="Z12" i="1"/>
  <c r="Z13" i="1"/>
  <c r="Z6" i="1"/>
  <c r="Z24" i="1"/>
  <c r="Z35" i="1"/>
  <c r="Z18" i="1"/>
  <c r="Z40" i="1"/>
  <c r="Z37" i="1"/>
  <c r="Z7" i="1"/>
  <c r="Z4" i="1"/>
  <c r="Z14" i="1"/>
  <c r="Z26" i="1"/>
  <c r="Z22" i="1"/>
  <c r="Z39" i="1"/>
  <c r="Z49" i="1"/>
  <c r="Z42" i="1"/>
  <c r="Z50" i="1"/>
  <c r="Z43" i="1"/>
  <c r="Z36" i="1"/>
  <c r="Z34" i="1"/>
  <c r="Z9" i="1"/>
  <c r="Z25" i="1"/>
  <c r="Z32" i="1"/>
  <c r="Z47" i="1"/>
  <c r="Z45" i="1"/>
  <c r="Z19" i="1"/>
  <c r="Z5" i="1"/>
  <c r="Z8" i="1"/>
  <c r="Z31" i="1"/>
  <c r="Z16" i="1"/>
  <c r="Z10" i="1"/>
  <c r="Z23" i="1"/>
  <c r="Z48" i="1"/>
</calcChain>
</file>

<file path=xl/sharedStrings.xml><?xml version="1.0" encoding="utf-8"?>
<sst xmlns="http://schemas.openxmlformats.org/spreadsheetml/2006/main" count="784" uniqueCount="344">
  <si>
    <t>Order_ID</t>
  </si>
  <si>
    <t>Order_Date</t>
  </si>
  <si>
    <t>Customer_ID</t>
  </si>
  <si>
    <t>Customer_City</t>
  </si>
  <si>
    <t>Customer_State</t>
  </si>
  <si>
    <t>Product_ID</t>
  </si>
  <si>
    <t>Product_Name</t>
  </si>
  <si>
    <t>Category</t>
  </si>
  <si>
    <t>Sub_Category</t>
  </si>
  <si>
    <t>Size</t>
  </si>
  <si>
    <t>Color</t>
  </si>
  <si>
    <t>Quantity</t>
  </si>
  <si>
    <t>MRP</t>
  </si>
  <si>
    <t>Sale_Price</t>
  </si>
  <si>
    <t>Discount_Percent</t>
  </si>
  <si>
    <t>Seller_ID</t>
  </si>
  <si>
    <t>Seller_Name</t>
  </si>
  <si>
    <t>Payment_Mode</t>
  </si>
  <si>
    <t>Order_Status</t>
  </si>
  <si>
    <t>Shipment_Date</t>
  </si>
  <si>
    <t>Delivery_Date</t>
  </si>
  <si>
    <t>Return_Status</t>
  </si>
  <si>
    <t>Return_Date</t>
  </si>
  <si>
    <t>Refund_Amount</t>
  </si>
  <si>
    <t>MSH2025-001</t>
  </si>
  <si>
    <t>CUST1001</t>
  </si>
  <si>
    <t>Ahmedabad</t>
  </si>
  <si>
    <t>Gujarat</t>
  </si>
  <si>
    <t>PRD9500</t>
  </si>
  <si>
    <t>Shirt - Grey L</t>
  </si>
  <si>
    <t>Men Wear</t>
  </si>
  <si>
    <t>Shirt</t>
  </si>
  <si>
    <t>L</t>
  </si>
  <si>
    <t>Grey</t>
  </si>
  <si>
    <t>SLR101</t>
  </si>
  <si>
    <t>FootwearPlaza</t>
  </si>
  <si>
    <t>COD</t>
  </si>
  <si>
    <t>Delivered</t>
  </si>
  <si>
    <t>No</t>
  </si>
  <si>
    <t>MSH2025-002</t>
  </si>
  <si>
    <t>CUST1002</t>
  </si>
  <si>
    <t>Bengaluru</t>
  </si>
  <si>
    <t>Karnataka</t>
  </si>
  <si>
    <t>PRD1001</t>
  </si>
  <si>
    <t>Handbag - White 38</t>
  </si>
  <si>
    <t>Women Accessories</t>
  </si>
  <si>
    <t>Handbag</t>
  </si>
  <si>
    <t>White</t>
  </si>
  <si>
    <t>SLR161</t>
  </si>
  <si>
    <t>KidsWorld</t>
  </si>
  <si>
    <t>MSH2025-003</t>
  </si>
  <si>
    <t>CUST1003</t>
  </si>
  <si>
    <t>PRD4905</t>
  </si>
  <si>
    <t>Palazzo Set - Red S</t>
  </si>
  <si>
    <t>Women Wear</t>
  </si>
  <si>
    <t>Palazzo Set</t>
  </si>
  <si>
    <t>S</t>
  </si>
  <si>
    <t>Red</t>
  </si>
  <si>
    <t>SLR244</t>
  </si>
  <si>
    <t>Online</t>
  </si>
  <si>
    <t>Returned</t>
  </si>
  <si>
    <t>Yes</t>
  </si>
  <si>
    <t>MSH2025-004</t>
  </si>
  <si>
    <t>CUST1004</t>
  </si>
  <si>
    <t>Kanpur</t>
  </si>
  <si>
    <t>Uttar Pradesh</t>
  </si>
  <si>
    <t>PRD7846</t>
  </si>
  <si>
    <t>Kurti - Red 44</t>
  </si>
  <si>
    <t>Kurti</t>
  </si>
  <si>
    <t>SLR65</t>
  </si>
  <si>
    <t>BagStore</t>
  </si>
  <si>
    <t>Out for Delivery</t>
  </si>
  <si>
    <t>MSH2025-005</t>
  </si>
  <si>
    <t>CUST1005</t>
  </si>
  <si>
    <t>Jaipur</t>
  </si>
  <si>
    <t>Rajasthan</t>
  </si>
  <si>
    <t>PRD5976</t>
  </si>
  <si>
    <t>T-shirt - Green 40</t>
  </si>
  <si>
    <t>Kids Wear</t>
  </si>
  <si>
    <t>T-shirt</t>
  </si>
  <si>
    <t>Green</t>
  </si>
  <si>
    <t>SLR225</t>
  </si>
  <si>
    <t>FashionKart</t>
  </si>
  <si>
    <t>MSH2025-006</t>
  </si>
  <si>
    <t>CUST1006</t>
  </si>
  <si>
    <t>PRD6950</t>
  </si>
  <si>
    <t>T-shirt - Pink 40</t>
  </si>
  <si>
    <t>Pink</t>
  </si>
  <si>
    <t>SLR202</t>
  </si>
  <si>
    <t>BudgetFashion</t>
  </si>
  <si>
    <t>MSH2025-007</t>
  </si>
  <si>
    <t>CUST1007</t>
  </si>
  <si>
    <t>PRD1406</t>
  </si>
  <si>
    <t>Handbag - Maroon 42</t>
  </si>
  <si>
    <t>Maroon</t>
  </si>
  <si>
    <t>SLR92</t>
  </si>
  <si>
    <t>EthnicBazaar</t>
  </si>
  <si>
    <t>MSH2025-008</t>
  </si>
  <si>
    <t>CUST1008</t>
  </si>
  <si>
    <t>PRD2834</t>
  </si>
  <si>
    <t>Track Pants - Grey 40</t>
  </si>
  <si>
    <t>Track Pants</t>
  </si>
  <si>
    <t>SLR291</t>
  </si>
  <si>
    <t>MSH2025-009</t>
  </si>
  <si>
    <t>CUST1009</t>
  </si>
  <si>
    <t>Kolkata</t>
  </si>
  <si>
    <t>West Bengal</t>
  </si>
  <si>
    <t>PRD3115</t>
  </si>
  <si>
    <t>Leggings - Pink L</t>
  </si>
  <si>
    <t>Leggings</t>
  </si>
  <si>
    <t>SLR342</t>
  </si>
  <si>
    <t>MSH2025-010</t>
  </si>
  <si>
    <t>CUST1010</t>
  </si>
  <si>
    <t>PRD4145</t>
  </si>
  <si>
    <t>Leggings - Grey XXL</t>
  </si>
  <si>
    <t>XXL</t>
  </si>
  <si>
    <t>SLR411</t>
  </si>
  <si>
    <t>MSH2025-011</t>
  </si>
  <si>
    <t>CUST1011</t>
  </si>
  <si>
    <t>Mumbai</t>
  </si>
  <si>
    <t>Maharashtra</t>
  </si>
  <si>
    <t>PRD7331</t>
  </si>
  <si>
    <t>T-shirt - White 40</t>
  </si>
  <si>
    <t>SLR464</t>
  </si>
  <si>
    <t>TrendyFashion</t>
  </si>
  <si>
    <t>MSH2025-012</t>
  </si>
  <si>
    <t>CUST1012</t>
  </si>
  <si>
    <t>PRD2595</t>
  </si>
  <si>
    <t>Leggings - Yellow M</t>
  </si>
  <si>
    <t>M</t>
  </si>
  <si>
    <t>Yellow</t>
  </si>
  <si>
    <t>SLR146</t>
  </si>
  <si>
    <t>Cancelled</t>
  </si>
  <si>
    <t>MSH2025-013</t>
  </si>
  <si>
    <t>CUST1013</t>
  </si>
  <si>
    <t>Hyderabad</t>
  </si>
  <si>
    <t>Telangana</t>
  </si>
  <si>
    <t>PRD9490</t>
  </si>
  <si>
    <t>Sports Shoes - Red 9</t>
  </si>
  <si>
    <t>Footwear</t>
  </si>
  <si>
    <t>Sports Shoes</t>
  </si>
  <si>
    <t>SLR335</t>
  </si>
  <si>
    <t>MSH2025-014</t>
  </si>
  <si>
    <t>CUST1014</t>
  </si>
  <si>
    <t>PRD9975</t>
  </si>
  <si>
    <t>T-shirt - Yellow 40</t>
  </si>
  <si>
    <t>SLR341</t>
  </si>
  <si>
    <t>MSH2025-015</t>
  </si>
  <si>
    <t>CUST1015</t>
  </si>
  <si>
    <t>PRD5317</t>
  </si>
  <si>
    <t>Sports Shoes - Brown 6-7Y</t>
  </si>
  <si>
    <t>6-7Y</t>
  </si>
  <si>
    <t>Brown</t>
  </si>
  <si>
    <t>SLR437</t>
  </si>
  <si>
    <t>MSH2025-016</t>
  </si>
  <si>
    <t>CUST1016</t>
  </si>
  <si>
    <t>PRD9855</t>
  </si>
  <si>
    <t>T-shirt - Blue S</t>
  </si>
  <si>
    <t>Blue</t>
  </si>
  <si>
    <t>SLR137</t>
  </si>
  <si>
    <t>SportStyle</t>
  </si>
  <si>
    <t>MSH2025-017</t>
  </si>
  <si>
    <t>CUST1017</t>
  </si>
  <si>
    <t>PRD4847</t>
  </si>
  <si>
    <t>Track Pants - Blue 40</t>
  </si>
  <si>
    <t>SLR322</t>
  </si>
  <si>
    <t>MSH2025-018</t>
  </si>
  <si>
    <t>CUST1018</t>
  </si>
  <si>
    <t>PRD9166</t>
  </si>
  <si>
    <t>Track Pants - Black XL</t>
  </si>
  <si>
    <t>XL</t>
  </si>
  <si>
    <t>Black</t>
  </si>
  <si>
    <t>SLR435</t>
  </si>
  <si>
    <t>MSH2025-019</t>
  </si>
  <si>
    <t>CUST1019</t>
  </si>
  <si>
    <t>Delhi</t>
  </si>
  <si>
    <t>PRD2611</t>
  </si>
  <si>
    <t>T-shirt - White 44</t>
  </si>
  <si>
    <t>SLR461</t>
  </si>
  <si>
    <t>MSH2025-020</t>
  </si>
  <si>
    <t>CUST1020</t>
  </si>
  <si>
    <t>PRD1516</t>
  </si>
  <si>
    <t>Leggings - Brown L</t>
  </si>
  <si>
    <t>SLR127</t>
  </si>
  <si>
    <t>MSH2025-021</t>
  </si>
  <si>
    <t>CUST1021</t>
  </si>
  <si>
    <t>Chennai</t>
  </si>
  <si>
    <t>Tamil Nadu</t>
  </si>
  <si>
    <t>PRD1643</t>
  </si>
  <si>
    <t>Shirt - Red S</t>
  </si>
  <si>
    <t>SLR408</t>
  </si>
  <si>
    <t>MSH2025-022</t>
  </si>
  <si>
    <t>CUST1022</t>
  </si>
  <si>
    <t>PRD9554</t>
  </si>
  <si>
    <t>Saree - Maroon M</t>
  </si>
  <si>
    <t>Saree</t>
  </si>
  <si>
    <t>SLR401</t>
  </si>
  <si>
    <t>MSH2025-023</t>
  </si>
  <si>
    <t>CUST1023</t>
  </si>
  <si>
    <t>PRD6608</t>
  </si>
  <si>
    <t>Leggings - Grey 44</t>
  </si>
  <si>
    <t>SLR295</t>
  </si>
  <si>
    <t>MSH2025-024</t>
  </si>
  <si>
    <t>CUST1024</t>
  </si>
  <si>
    <t>PRD2136</t>
  </si>
  <si>
    <t>Saree - White XXL</t>
  </si>
  <si>
    <t>SLR151</t>
  </si>
  <si>
    <t>MSH2025-025</t>
  </si>
  <si>
    <t>CUST1025</t>
  </si>
  <si>
    <t>PRD4210</t>
  </si>
  <si>
    <t>Kurti - Grey S</t>
  </si>
  <si>
    <t>SLR253</t>
  </si>
  <si>
    <t>MSH2025-026</t>
  </si>
  <si>
    <t>CUST1026</t>
  </si>
  <si>
    <t>PRD8042</t>
  </si>
  <si>
    <t>Kurti - Blue M</t>
  </si>
  <si>
    <t>SLR201</t>
  </si>
  <si>
    <t>MSH2025-027</t>
  </si>
  <si>
    <t>CUST1027</t>
  </si>
  <si>
    <t>PRD9153</t>
  </si>
  <si>
    <t>T-shirt - Green 38</t>
  </si>
  <si>
    <t>SLR432</t>
  </si>
  <si>
    <t>MSH2025-028</t>
  </si>
  <si>
    <t>CUST1028</t>
  </si>
  <si>
    <t>PRD3156</t>
  </si>
  <si>
    <t>Handbag - Yellow 44</t>
  </si>
  <si>
    <t>SLR470</t>
  </si>
  <si>
    <t>MSH2025-029</t>
  </si>
  <si>
    <t>CUST1029</t>
  </si>
  <si>
    <t>PRD9688</t>
  </si>
  <si>
    <t>Leggings - Pink 40</t>
  </si>
  <si>
    <t>SLR258</t>
  </si>
  <si>
    <t>MenStyleHub</t>
  </si>
  <si>
    <t>MSH2025-030</t>
  </si>
  <si>
    <t>CUST1030</t>
  </si>
  <si>
    <t>PRD3720</t>
  </si>
  <si>
    <t>T-shirt - Yellow L</t>
  </si>
  <si>
    <t>SLR113</t>
  </si>
  <si>
    <t>MSH2025-031</t>
  </si>
  <si>
    <t>CUST1031</t>
  </si>
  <si>
    <t>PRD9968</t>
  </si>
  <si>
    <t>Handbag - Brown L</t>
  </si>
  <si>
    <t>SLR396</t>
  </si>
  <si>
    <t>MSH2025-032</t>
  </si>
  <si>
    <t>CUST1032</t>
  </si>
  <si>
    <t>PRD1543</t>
  </si>
  <si>
    <t>Saree - Green 42</t>
  </si>
  <si>
    <t>SLR142</t>
  </si>
  <si>
    <t>MSH2025-033</t>
  </si>
  <si>
    <t>CUST1033</t>
  </si>
  <si>
    <t>PRD7937</t>
  </si>
  <si>
    <t>Saree - Maroon L</t>
  </si>
  <si>
    <t>SLR403</t>
  </si>
  <si>
    <t>MSH2025-034</t>
  </si>
  <si>
    <t>CUST1034</t>
  </si>
  <si>
    <t>PRD6402</t>
  </si>
  <si>
    <t>Palazzo Set - Green 9</t>
  </si>
  <si>
    <t>SLR478</t>
  </si>
  <si>
    <t>ShoeHub</t>
  </si>
  <si>
    <t>MSH2025-035</t>
  </si>
  <si>
    <t>CUST1035</t>
  </si>
  <si>
    <t>PRD5895</t>
  </si>
  <si>
    <t>Sports Shoes - Brown M</t>
  </si>
  <si>
    <t>SLR245</t>
  </si>
  <si>
    <t>MSH2025-036</t>
  </si>
  <si>
    <t>CUST1036</t>
  </si>
  <si>
    <t>PRD6960</t>
  </si>
  <si>
    <t>Leggings - White S</t>
  </si>
  <si>
    <t>SLR336</t>
  </si>
  <si>
    <t>MSH2025-037</t>
  </si>
  <si>
    <t>CUST1037</t>
  </si>
  <si>
    <t>PRD6279</t>
  </si>
  <si>
    <t>Palazzo Set - Maroon 42</t>
  </si>
  <si>
    <t>SLR494</t>
  </si>
  <si>
    <t>MSH2025-038</t>
  </si>
  <si>
    <t>CUST1038</t>
  </si>
  <si>
    <t>PRD5519</t>
  </si>
  <si>
    <t>Leggings - Yellow XXL</t>
  </si>
  <si>
    <t>SLR436</t>
  </si>
  <si>
    <t>MSH2025-039</t>
  </si>
  <si>
    <t>CUST1039</t>
  </si>
  <si>
    <t>PRD7644</t>
  </si>
  <si>
    <t>T-shirt - Blue 44</t>
  </si>
  <si>
    <t>SLR372</t>
  </si>
  <si>
    <t>MSH2025-040</t>
  </si>
  <si>
    <t>CUST1040</t>
  </si>
  <si>
    <t>PRD6057</t>
  </si>
  <si>
    <t>T-shirt - Grey 9</t>
  </si>
  <si>
    <t>SLR282</t>
  </si>
  <si>
    <t>MSH2025-041</t>
  </si>
  <si>
    <t>CUST1041</t>
  </si>
  <si>
    <t>PRD9756</t>
  </si>
  <si>
    <t>Handbag - Blue L</t>
  </si>
  <si>
    <t>SLR73</t>
  </si>
  <si>
    <t>MSH2025-042</t>
  </si>
  <si>
    <t>CUST1042</t>
  </si>
  <si>
    <t>Surat</t>
  </si>
  <si>
    <t>PRD2591</t>
  </si>
  <si>
    <t>Palazzo Set - Yellow 9</t>
  </si>
  <si>
    <t>SLR133</t>
  </si>
  <si>
    <t>MSH2025-043</t>
  </si>
  <si>
    <t>CUST1043</t>
  </si>
  <si>
    <t>PRD9946</t>
  </si>
  <si>
    <t>Track Pants - Brown 6-7Y</t>
  </si>
  <si>
    <t>SLR390</t>
  </si>
  <si>
    <t>MSH2025-044</t>
  </si>
  <si>
    <t>CUST1044</t>
  </si>
  <si>
    <t>PRD1287</t>
  </si>
  <si>
    <t>Shirt - Blue XXL</t>
  </si>
  <si>
    <t>SLR67</t>
  </si>
  <si>
    <t>MSH2025-045</t>
  </si>
  <si>
    <t>CUST1045</t>
  </si>
  <si>
    <t>PRD7119</t>
  </si>
  <si>
    <t>T-shirt - Green 9</t>
  </si>
  <si>
    <t>SLR427</t>
  </si>
  <si>
    <t>MSH2025-046</t>
  </si>
  <si>
    <t>CUST1046</t>
  </si>
  <si>
    <t>PRD2493</t>
  </si>
  <si>
    <t>Shirt - Blue 44</t>
  </si>
  <si>
    <t>SLR241</t>
  </si>
  <si>
    <t>MSH2025-047</t>
  </si>
  <si>
    <t>CUST1047</t>
  </si>
  <si>
    <t>PRD2817</t>
  </si>
  <si>
    <t>Palazzo Set - Brown 38</t>
  </si>
  <si>
    <t>MSH2025-048</t>
  </si>
  <si>
    <t>CUST1048</t>
  </si>
  <si>
    <t>PRD3443</t>
  </si>
  <si>
    <t>Saree - Brown 40</t>
  </si>
  <si>
    <t>SLR212</t>
  </si>
  <si>
    <t>MSH2025-049</t>
  </si>
  <si>
    <t>CUST1049</t>
  </si>
  <si>
    <t>PRD7484</t>
  </si>
  <si>
    <t>T-shirt - Pink 9</t>
  </si>
  <si>
    <t>SLR369</t>
  </si>
  <si>
    <t>MSH2025-050</t>
  </si>
  <si>
    <t>CUST1050</t>
  </si>
  <si>
    <t>PRD2137</t>
  </si>
  <si>
    <t>SLR347</t>
  </si>
  <si>
    <t>Sales_Value</t>
  </si>
  <si>
    <t>Discount_Amount</t>
  </si>
  <si>
    <t>Row Labels</t>
  </si>
  <si>
    <t>Grand Total</t>
  </si>
  <si>
    <t>Sum of Sales_Value</t>
  </si>
  <si>
    <t>Count of 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</si>
</sst>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E2F0D9"/>
      <name val="Calibri"/>
      <family val="2"/>
      <scheme val="minor"/>
    </font>
    <font>
      <sz val="11"/>
      <color rgb="FFF4CCCC"/>
      <name val="Calibri"/>
      <family val="2"/>
      <scheme val="minor"/>
    </font>
    <font>
      <sz val="1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B0082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A61C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13" fillId="33" borderId="0" xfId="0" applyFont="1" applyFill="1"/>
    <xf numFmtId="1" fontId="13" fillId="33" borderId="0" xfId="0" applyNumberFormat="1" applyFont="1" applyFill="1"/>
    <xf numFmtId="1" fontId="0" fillId="0" borderId="0" xfId="0" applyNumberFormat="1"/>
    <xf numFmtId="14" fontId="13" fillId="33" borderId="0" xfId="0" applyNumberFormat="1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34" borderId="0" xfId="0" applyFill="1"/>
    <xf numFmtId="0" fontId="18" fillId="35" borderId="0" xfId="0" applyFont="1" applyFill="1"/>
    <xf numFmtId="0" fontId="19" fillId="36" borderId="0" xfId="0" applyFont="1" applyFill="1"/>
    <xf numFmtId="0" fontId="19" fillId="37" borderId="0" xfId="0" applyFont="1" applyFill="1"/>
    <xf numFmtId="1" fontId="20" fillId="38" borderId="0" xfId="0" applyNumberFormat="1" applyFont="1" applyFill="1"/>
    <xf numFmtId="1" fontId="20" fillId="0" borderId="0" xfId="0" applyNumberFormat="1" applyFont="1"/>
    <xf numFmtId="9" fontId="13" fillId="33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FCE4D6"/>
      </font>
    </dxf>
    <dxf>
      <font>
        <color rgb="FFE2F0D9"/>
      </font>
    </dxf>
    <dxf>
      <font>
        <color rgb="FFFCE4D6"/>
      </font>
    </dxf>
    <dxf>
      <font>
        <color rgb="FFE2F0D9"/>
      </font>
    </dxf>
  </dxfs>
  <tableStyles count="1" defaultTableStyle="TableStyleMedium2" defaultPivotStyle="PivotStyleLight16">
    <tableStyle name="Invisible" pivot="0" table="0" count="0" xr9:uid="{326DD675-F572-431F-A0E7-3D529946D056}"/>
  </tableStyles>
  <colors>
    <mruColors>
      <color rgb="FFE4DFEC"/>
      <color rgb="FFD9D2E9"/>
      <color rgb="FFB4A7D6"/>
      <color rgb="FF7030A0"/>
      <color rgb="FFF4CCCC"/>
      <color rgb="FFC00000"/>
      <color rgb="FF548235"/>
      <color rgb="FFE2F0D9"/>
      <color rgb="FFA61C00"/>
      <color rgb="FFC659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 R S S SRI LALITHA" refreshedDate="46249.450946759258" createdVersion="8" refreshedVersion="8" minRefreshableVersion="3" recordCount="50" xr:uid="{7A0F8BC4-9D97-4EAD-ABA3-7C89CB2EA033}">
  <cacheSource type="worksheet">
    <worksheetSource ref="A1:Z51" sheet="meesho_order_data_2025_50rows"/>
  </cacheSource>
  <cacheFields count="26">
    <cacheField name="Order_ID" numFmtId="0">
      <sharedItems/>
    </cacheField>
    <cacheField name="Order_Date" numFmtId="14">
      <sharedItems containsSemiMixedTypes="0" containsNonDate="0" containsDate="1" containsString="0" minDate="2025-01-01T00:00:00" maxDate="2025-02-10T00:00:00"/>
    </cacheField>
    <cacheField name="Order_Status" numFmtId="0">
      <sharedItems count="4">
        <s v="Delivered"/>
        <s v="Returned"/>
        <s v="Out for Delivery"/>
        <s v="Cancelled"/>
      </sharedItems>
    </cacheField>
    <cacheField name="Customer_ID" numFmtId="0">
      <sharedItems/>
    </cacheField>
    <cacheField name="Customer_City" numFmtId="0">
      <sharedItems/>
    </cacheField>
    <cacheField name="Customer_State" numFmtId="0">
      <sharedItems count="9">
        <s v="Gujarat"/>
        <s v="Karnataka"/>
        <s v="Uttar Pradesh"/>
        <s v="Rajasthan"/>
        <s v="West Bengal"/>
        <s v="Maharashtra"/>
        <s v="Telangana"/>
        <s v="Delhi"/>
        <s v="Tamil Nadu"/>
      </sharedItems>
    </cacheField>
    <cacheField name="Product_ID" numFmtId="0">
      <sharedItems/>
    </cacheField>
    <cacheField name="Product_Name" numFmtId="0">
      <sharedItems/>
    </cacheField>
    <cacheField name="Category" numFmtId="0">
      <sharedItems count="5">
        <s v="Men Wear"/>
        <s v="Women Accessories"/>
        <s v="Women Wear"/>
        <s v="Kids Wear"/>
        <s v="Footwear"/>
      </sharedItems>
    </cacheField>
    <cacheField name="Sub_Category" numFmtId="0">
      <sharedItems/>
    </cacheField>
    <cacheField name="Size" numFmtId="0">
      <sharedItems containsMixedTypes="1" containsNumber="1" containsInteger="1" minValue="9" maxValue="44"/>
    </cacheField>
    <cacheField name="Color" numFmtId="0">
      <sharedItems/>
    </cacheField>
    <cacheField name="Quantity" numFmtId="1">
      <sharedItems containsSemiMixedTypes="0" containsString="0" containsNumber="1" containsInteger="1" minValue="1" maxValue="3"/>
    </cacheField>
    <cacheField name="MRP" numFmtId="1">
      <sharedItems containsSemiMixedTypes="0" containsString="0" containsNumber="1" containsInteger="1" minValue="420" maxValue="1952"/>
    </cacheField>
    <cacheField name="Sale_Price" numFmtId="1">
      <sharedItems containsSemiMixedTypes="0" containsString="0" containsNumber="1" containsInteger="1" minValue="176" maxValue="1812"/>
    </cacheField>
    <cacheField name="Discount_Percent" numFmtId="1">
      <sharedItems containsSemiMixedTypes="0" containsString="0" containsNumber="1" containsInteger="1" minValue="4" maxValue="64"/>
    </cacheField>
    <cacheField name="Discount_Amount" numFmtId="1">
      <sharedItems containsSemiMixedTypes="0" containsString="0" containsNumber="1" containsInteger="1" minValue="58" maxValue="389"/>
    </cacheField>
    <cacheField name="Seller_ID" numFmtId="0">
      <sharedItems/>
    </cacheField>
    <cacheField name="Seller_Name" numFmtId="0">
      <sharedItems/>
    </cacheField>
    <cacheField name="Payment_Mode" numFmtId="0">
      <sharedItems/>
    </cacheField>
    <cacheField name="Shipment_Date" numFmtId="14">
      <sharedItems containsNonDate="0" containsDate="1" containsString="0" containsBlank="1" minDate="2025-01-02T00:00:00" maxDate="2025-02-11T00:00:00"/>
    </cacheField>
    <cacheField name="Delivery_Date" numFmtId="14">
      <sharedItems containsNonDate="0" containsDate="1" containsString="0" containsBlank="1" minDate="2025-01-14T00:00:00" maxDate="2025-02-16T00:00:00"/>
    </cacheField>
    <cacheField name="Return_Status" numFmtId="0">
      <sharedItems/>
    </cacheField>
    <cacheField name="Return_Date" numFmtId="14">
      <sharedItems containsNonDate="0" containsString="0" containsBlank="1"/>
    </cacheField>
    <cacheField name="Refund_Amount" numFmtId="1">
      <sharedItems containsSemiMixedTypes="0" containsString="0" containsNumber="1" containsInteger="1" minValue="0" maxValue="1802"/>
    </cacheField>
    <cacheField name="Sales_Value" numFmtId="1">
      <sharedItems containsSemiMixedTypes="0" containsString="0" containsNumber="1" containsInteger="1" minValue="219" maxValue="54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MSH2025-001"/>
    <d v="2025-01-30T00:00:00"/>
    <x v="0"/>
    <s v="CUST1001"/>
    <s v="Ahmedabad"/>
    <x v="0"/>
    <s v="PRD9500"/>
    <s v="Shirt - Grey L"/>
    <x v="0"/>
    <s v="Shirt"/>
    <s v="L"/>
    <s v="Grey"/>
    <n v="1"/>
    <n v="1469"/>
    <n v="1368"/>
    <n v="7"/>
    <n v="101"/>
    <s v="SLR101"/>
    <s v="FootwearPlaza"/>
    <s v="COD"/>
    <d v="2025-01-31T00:00:00"/>
    <d v="2025-02-04T00:00:00"/>
    <s v="No"/>
    <m/>
    <n v="0"/>
    <n v="1368"/>
  </r>
  <r>
    <s v="MSH2025-002"/>
    <d v="2025-02-06T00:00:00"/>
    <x v="0"/>
    <s v="CUST1002"/>
    <s v="Bengaluru"/>
    <x v="1"/>
    <s v="PRD1001"/>
    <s v="Handbag - White 38"/>
    <x v="1"/>
    <s v="Handbag"/>
    <n v="38"/>
    <s v="White"/>
    <n v="3"/>
    <n v="1015"/>
    <n v="868"/>
    <n v="14"/>
    <n v="147"/>
    <s v="SLR161"/>
    <s v="KidsWorld"/>
    <s v="COD"/>
    <d v="2025-02-07T00:00:00"/>
    <d v="2025-02-09T00:00:00"/>
    <s v="No"/>
    <m/>
    <n v="0"/>
    <n v="2604"/>
  </r>
  <r>
    <s v="MSH2025-003"/>
    <d v="2025-01-13T00:00:00"/>
    <x v="1"/>
    <s v="CUST1003"/>
    <s v="Bengaluru"/>
    <x v="1"/>
    <s v="PRD4905"/>
    <s v="Palazzo Set - Red S"/>
    <x v="2"/>
    <s v="Palazzo Set"/>
    <s v="S"/>
    <s v="Red"/>
    <n v="2"/>
    <n v="817"/>
    <n v="545"/>
    <n v="33"/>
    <n v="272"/>
    <s v="SLR244"/>
    <s v="KidsWorld"/>
    <s v="Online"/>
    <d v="2025-01-14T00:00:00"/>
    <m/>
    <s v="Yes"/>
    <m/>
    <n v="545"/>
    <n v="1090"/>
  </r>
  <r>
    <s v="MSH2025-004"/>
    <d v="2025-01-17T00:00:00"/>
    <x v="2"/>
    <s v="CUST1004"/>
    <s v="Kanpur"/>
    <x v="2"/>
    <s v="PRD7846"/>
    <s v="Kurti - Red 44"/>
    <x v="2"/>
    <s v="Kurti"/>
    <n v="44"/>
    <s v="Red"/>
    <n v="3"/>
    <n v="1144"/>
    <n v="941"/>
    <n v="18"/>
    <n v="203"/>
    <s v="SLR65"/>
    <s v="BagStore"/>
    <s v="Online"/>
    <d v="2025-01-18T00:00:00"/>
    <m/>
    <s v="No"/>
    <m/>
    <n v="0"/>
    <n v="2823"/>
  </r>
  <r>
    <s v="MSH2025-005"/>
    <d v="2025-01-09T00:00:00"/>
    <x v="1"/>
    <s v="CUST1005"/>
    <s v="Jaipur"/>
    <x v="3"/>
    <s v="PRD5976"/>
    <s v="T-shirt - Green 40"/>
    <x v="3"/>
    <s v="T-shirt"/>
    <n v="40"/>
    <s v="Green"/>
    <n v="2"/>
    <n v="1316"/>
    <n v="1050"/>
    <n v="20"/>
    <n v="266"/>
    <s v="SLR225"/>
    <s v="FashionKart"/>
    <s v="Online"/>
    <d v="2025-01-10T00:00:00"/>
    <m/>
    <s v="Yes"/>
    <m/>
    <n v="1050"/>
    <n v="2100"/>
  </r>
  <r>
    <s v="MSH2025-006"/>
    <d v="2025-01-21T00:00:00"/>
    <x v="2"/>
    <s v="CUST1006"/>
    <s v="Kanpur"/>
    <x v="2"/>
    <s v="PRD6950"/>
    <s v="T-shirt - Pink 40"/>
    <x v="0"/>
    <s v="T-shirt"/>
    <n v="40"/>
    <s v="Pink"/>
    <n v="3"/>
    <n v="1405"/>
    <n v="1177"/>
    <n v="16"/>
    <n v="228"/>
    <s v="SLR202"/>
    <s v="BudgetFashion"/>
    <s v="COD"/>
    <d v="2025-01-22T00:00:00"/>
    <m/>
    <s v="No"/>
    <m/>
    <n v="0"/>
    <n v="3531"/>
  </r>
  <r>
    <s v="MSH2025-007"/>
    <d v="2025-02-05T00:00:00"/>
    <x v="2"/>
    <s v="CUST1007"/>
    <s v="Jaipur"/>
    <x v="3"/>
    <s v="PRD1406"/>
    <s v="Handbag - Maroon 42"/>
    <x v="1"/>
    <s v="Handbag"/>
    <n v="42"/>
    <s v="Maroon"/>
    <n v="1"/>
    <n v="1494"/>
    <n v="1385"/>
    <n v="7"/>
    <n v="109"/>
    <s v="SLR92"/>
    <s v="EthnicBazaar"/>
    <s v="Online"/>
    <d v="2025-02-06T00:00:00"/>
    <m/>
    <s v="No"/>
    <m/>
    <n v="0"/>
    <n v="1385"/>
  </r>
  <r>
    <s v="MSH2025-008"/>
    <d v="2025-02-06T00:00:00"/>
    <x v="2"/>
    <s v="CUST1008"/>
    <s v="Ahmedabad"/>
    <x v="0"/>
    <s v="PRD2834"/>
    <s v="Track Pants - Grey 40"/>
    <x v="0"/>
    <s v="Track Pants"/>
    <n v="40"/>
    <s v="Grey"/>
    <n v="3"/>
    <n v="1952"/>
    <n v="1812"/>
    <n v="7"/>
    <n v="140"/>
    <s v="SLR291"/>
    <s v="FashionKart"/>
    <s v="Online"/>
    <d v="2025-02-07T00:00:00"/>
    <m/>
    <s v="No"/>
    <m/>
    <n v="0"/>
    <n v="5436"/>
  </r>
  <r>
    <s v="MSH2025-009"/>
    <d v="2025-01-16T00:00:00"/>
    <x v="1"/>
    <s v="CUST1009"/>
    <s v="Kolkata"/>
    <x v="4"/>
    <s v="PRD3115"/>
    <s v="Leggings - Pink L"/>
    <x v="2"/>
    <s v="Leggings"/>
    <s v="L"/>
    <s v="Pink"/>
    <n v="2"/>
    <n v="436"/>
    <n v="330"/>
    <n v="24"/>
    <n v="106"/>
    <s v="SLR342"/>
    <s v="FootwearPlaza"/>
    <s v="Online"/>
    <d v="2025-01-17T00:00:00"/>
    <m/>
    <s v="Yes"/>
    <m/>
    <n v="330"/>
    <n v="660"/>
  </r>
  <r>
    <s v="MSH2025-010"/>
    <d v="2025-01-26T00:00:00"/>
    <x v="2"/>
    <s v="CUST1010"/>
    <s v="Bengaluru"/>
    <x v="1"/>
    <s v="PRD4145"/>
    <s v="Leggings - Grey XXL"/>
    <x v="2"/>
    <s v="Leggings"/>
    <s v="XXL"/>
    <s v="Grey"/>
    <n v="1"/>
    <n v="684"/>
    <n v="335"/>
    <n v="51"/>
    <n v="349"/>
    <s v="SLR411"/>
    <s v="FashionKart"/>
    <s v="Online"/>
    <d v="2025-01-27T00:00:00"/>
    <m/>
    <s v="No"/>
    <m/>
    <n v="0"/>
    <n v="335"/>
  </r>
  <r>
    <s v="MSH2025-011"/>
    <d v="2025-01-21T00:00:00"/>
    <x v="0"/>
    <s v="CUST1011"/>
    <s v="Mumbai"/>
    <x v="5"/>
    <s v="PRD7331"/>
    <s v="T-shirt - White 40"/>
    <x v="3"/>
    <s v="T-shirt"/>
    <n v="40"/>
    <s v="White"/>
    <n v="3"/>
    <n v="928"/>
    <n v="589"/>
    <n v="37"/>
    <n v="339"/>
    <s v="SLR464"/>
    <s v="TrendyFashion"/>
    <s v="COD"/>
    <d v="2025-01-22T00:00:00"/>
    <d v="2025-01-25T00:00:00"/>
    <s v="No"/>
    <m/>
    <n v="0"/>
    <n v="1767"/>
  </r>
  <r>
    <s v="MSH2025-012"/>
    <d v="2025-02-05T00:00:00"/>
    <x v="3"/>
    <s v="CUST1012"/>
    <s v="Bengaluru"/>
    <x v="1"/>
    <s v="PRD2595"/>
    <s v="Leggings - Yellow M"/>
    <x v="2"/>
    <s v="Leggings"/>
    <s v="M"/>
    <s v="Yellow"/>
    <n v="3"/>
    <n v="1480"/>
    <n v="1244"/>
    <n v="16"/>
    <n v="236"/>
    <s v="SLR146"/>
    <s v="BudgetFashion"/>
    <s v="COD"/>
    <m/>
    <m/>
    <s v="No"/>
    <m/>
    <n v="0"/>
    <n v="3732"/>
  </r>
  <r>
    <s v="MSH2025-013"/>
    <d v="2025-01-15T00:00:00"/>
    <x v="2"/>
    <s v="CUST1013"/>
    <s v="Hyderabad"/>
    <x v="6"/>
    <s v="PRD9490"/>
    <s v="Sports Shoes - Red 9"/>
    <x v="4"/>
    <s v="Sports Shoes"/>
    <n v="9"/>
    <s v="Red"/>
    <n v="3"/>
    <n v="1222"/>
    <n v="917"/>
    <n v="25"/>
    <n v="305"/>
    <s v="SLR335"/>
    <s v="BudgetFashion"/>
    <s v="Online"/>
    <d v="2025-01-16T00:00:00"/>
    <m/>
    <s v="No"/>
    <m/>
    <n v="0"/>
    <n v="2751"/>
  </r>
  <r>
    <s v="MSH2025-014"/>
    <d v="2025-01-23T00:00:00"/>
    <x v="1"/>
    <s v="CUST1014"/>
    <s v="Hyderabad"/>
    <x v="6"/>
    <s v="PRD9975"/>
    <s v="T-shirt - Yellow 40"/>
    <x v="0"/>
    <s v="T-shirt"/>
    <n v="40"/>
    <s v="Yellow"/>
    <n v="3"/>
    <n v="420"/>
    <n v="280"/>
    <n v="33"/>
    <n v="140"/>
    <s v="SLR341"/>
    <s v="KidsWorld"/>
    <s v="COD"/>
    <d v="2025-01-24T00:00:00"/>
    <m/>
    <s v="Yes"/>
    <m/>
    <n v="280"/>
    <n v="840"/>
  </r>
  <r>
    <s v="MSH2025-015"/>
    <d v="2025-01-19T00:00:00"/>
    <x v="1"/>
    <s v="CUST1015"/>
    <s v="Jaipur"/>
    <x v="3"/>
    <s v="PRD5317"/>
    <s v="Sports Shoes - Brown 6-7Y"/>
    <x v="4"/>
    <s v="Sports Shoes"/>
    <s v="6-7Y"/>
    <s v="Brown"/>
    <n v="3"/>
    <n v="850"/>
    <n v="667"/>
    <n v="22"/>
    <n v="183"/>
    <s v="SLR437"/>
    <s v="FashionKart"/>
    <s v="COD"/>
    <d v="2025-01-20T00:00:00"/>
    <m/>
    <s v="Yes"/>
    <m/>
    <n v="667"/>
    <n v="2001"/>
  </r>
  <r>
    <s v="MSH2025-016"/>
    <d v="2025-01-11T00:00:00"/>
    <x v="1"/>
    <s v="CUST1016"/>
    <s v="Kolkata"/>
    <x v="4"/>
    <s v="PRD9855"/>
    <s v="T-shirt - Blue S"/>
    <x v="0"/>
    <s v="T-shirt"/>
    <s v="S"/>
    <s v="Blue"/>
    <n v="1"/>
    <n v="1943"/>
    <n v="1802"/>
    <n v="7"/>
    <n v="141"/>
    <s v="SLR137"/>
    <s v="SportStyle"/>
    <s v="COD"/>
    <d v="2025-01-12T00:00:00"/>
    <m/>
    <s v="Yes"/>
    <m/>
    <n v="1802"/>
    <n v="1802"/>
  </r>
  <r>
    <s v="MSH2025-017"/>
    <d v="2025-02-09T00:00:00"/>
    <x v="2"/>
    <s v="CUST1017"/>
    <s v="Kanpur"/>
    <x v="2"/>
    <s v="PRD4847"/>
    <s v="Track Pants - Blue 40"/>
    <x v="0"/>
    <s v="Track Pants"/>
    <n v="40"/>
    <s v="Blue"/>
    <n v="1"/>
    <n v="1610"/>
    <n v="1473"/>
    <n v="9"/>
    <n v="137"/>
    <s v="SLR322"/>
    <s v="FashionKart"/>
    <s v="COD"/>
    <d v="2025-02-10T00:00:00"/>
    <m/>
    <s v="No"/>
    <m/>
    <n v="0"/>
    <n v="1473"/>
  </r>
  <r>
    <s v="MSH2025-018"/>
    <d v="2025-01-21T00:00:00"/>
    <x v="2"/>
    <s v="CUST1018"/>
    <s v="Bengaluru"/>
    <x v="1"/>
    <s v="PRD9166"/>
    <s v="Track Pants - Black XL"/>
    <x v="0"/>
    <s v="Track Pants"/>
    <s v="XL"/>
    <s v="Black"/>
    <n v="1"/>
    <n v="800"/>
    <n v="711"/>
    <n v="11"/>
    <n v="89"/>
    <s v="SLR435"/>
    <s v="TrendyFashion"/>
    <s v="Online"/>
    <d v="2025-01-22T00:00:00"/>
    <m/>
    <s v="No"/>
    <m/>
    <n v="0"/>
    <n v="711"/>
  </r>
  <r>
    <s v="MSH2025-019"/>
    <d v="2025-01-30T00:00:00"/>
    <x v="0"/>
    <s v="CUST1019"/>
    <s v="Delhi"/>
    <x v="7"/>
    <s v="PRD2611"/>
    <s v="T-shirt - White 44"/>
    <x v="0"/>
    <s v="T-shirt"/>
    <n v="44"/>
    <s v="White"/>
    <n v="3"/>
    <n v="1672"/>
    <n v="1424"/>
    <n v="15"/>
    <n v="248"/>
    <s v="SLR461"/>
    <s v="FootwearPlaza"/>
    <s v="Online"/>
    <d v="2025-01-31T00:00:00"/>
    <d v="2025-02-04T00:00:00"/>
    <s v="No"/>
    <m/>
    <n v="0"/>
    <n v="4272"/>
  </r>
  <r>
    <s v="MSH2025-020"/>
    <d v="2025-01-30T00:00:00"/>
    <x v="1"/>
    <s v="CUST1020"/>
    <s v="Hyderabad"/>
    <x v="6"/>
    <s v="PRD1516"/>
    <s v="Leggings - Brown L"/>
    <x v="2"/>
    <s v="Leggings"/>
    <s v="L"/>
    <s v="Brown"/>
    <n v="1"/>
    <n v="1372"/>
    <n v="993"/>
    <n v="28"/>
    <n v="379"/>
    <s v="SLR127"/>
    <s v="BagStore"/>
    <s v="COD"/>
    <d v="2025-01-31T00:00:00"/>
    <m/>
    <s v="Yes"/>
    <m/>
    <n v="993"/>
    <n v="993"/>
  </r>
  <r>
    <s v="MSH2025-021"/>
    <d v="2025-02-09T00:00:00"/>
    <x v="0"/>
    <s v="CUST1021"/>
    <s v="Chennai"/>
    <x v="8"/>
    <s v="PRD1643"/>
    <s v="Shirt - Red S"/>
    <x v="0"/>
    <s v="Shirt"/>
    <s v="S"/>
    <s v="Red"/>
    <n v="3"/>
    <n v="897"/>
    <n v="746"/>
    <n v="17"/>
    <n v="151"/>
    <s v="SLR408"/>
    <s v="KidsWorld"/>
    <s v="COD"/>
    <d v="2025-02-10T00:00:00"/>
    <d v="2025-02-15T00:00:00"/>
    <s v="No"/>
    <m/>
    <n v="0"/>
    <n v="2238"/>
  </r>
  <r>
    <s v="MSH2025-022"/>
    <d v="2025-01-02T00:00:00"/>
    <x v="2"/>
    <s v="CUST1022"/>
    <s v="Ahmedabad"/>
    <x v="0"/>
    <s v="PRD9554"/>
    <s v="Saree - Maroon M"/>
    <x v="2"/>
    <s v="Saree"/>
    <s v="M"/>
    <s v="Maroon"/>
    <n v="1"/>
    <n v="1470"/>
    <n v="1406"/>
    <n v="4"/>
    <n v="64"/>
    <s v="SLR401"/>
    <s v="FashionKart"/>
    <s v="Online"/>
    <d v="2025-01-03T00:00:00"/>
    <m/>
    <s v="No"/>
    <m/>
    <n v="0"/>
    <n v="1406"/>
  </r>
  <r>
    <s v="MSH2025-023"/>
    <d v="2025-01-20T00:00:00"/>
    <x v="1"/>
    <s v="CUST1023"/>
    <s v="Ahmedabad"/>
    <x v="0"/>
    <s v="PRD6608"/>
    <s v="Leggings - Grey 44"/>
    <x v="2"/>
    <s v="Leggings"/>
    <n v="44"/>
    <s v="Grey"/>
    <n v="1"/>
    <n v="1252"/>
    <n v="887"/>
    <n v="29"/>
    <n v="365"/>
    <s v="SLR295"/>
    <s v="SportStyle"/>
    <s v="COD"/>
    <d v="2025-01-21T00:00:00"/>
    <m/>
    <s v="Yes"/>
    <m/>
    <n v="887"/>
    <n v="887"/>
  </r>
  <r>
    <s v="MSH2025-024"/>
    <d v="2025-02-02T00:00:00"/>
    <x v="3"/>
    <s v="CUST1024"/>
    <s v="Kolkata"/>
    <x v="4"/>
    <s v="PRD2136"/>
    <s v="Saree - White XXL"/>
    <x v="2"/>
    <s v="Saree"/>
    <s v="XXL"/>
    <s v="White"/>
    <n v="1"/>
    <n v="531"/>
    <n v="219"/>
    <n v="59"/>
    <n v="312"/>
    <s v="SLR151"/>
    <s v="BagStore"/>
    <s v="COD"/>
    <m/>
    <m/>
    <s v="No"/>
    <m/>
    <n v="0"/>
    <n v="219"/>
  </r>
  <r>
    <s v="MSH2025-025"/>
    <d v="2025-01-02T00:00:00"/>
    <x v="3"/>
    <s v="CUST1025"/>
    <s v="Jaipur"/>
    <x v="3"/>
    <s v="PRD4210"/>
    <s v="Kurti - Grey S"/>
    <x v="2"/>
    <s v="Kurti"/>
    <s v="S"/>
    <s v="Grey"/>
    <n v="3"/>
    <n v="493"/>
    <n v="176"/>
    <n v="64"/>
    <n v="317"/>
    <s v="SLR253"/>
    <s v="SportStyle"/>
    <s v="Online"/>
    <m/>
    <m/>
    <s v="No"/>
    <m/>
    <n v="0"/>
    <n v="528"/>
  </r>
  <r>
    <s v="MSH2025-026"/>
    <d v="2025-01-06T00:00:00"/>
    <x v="2"/>
    <s v="CUST1026"/>
    <s v="Bengaluru"/>
    <x v="1"/>
    <s v="PRD8042"/>
    <s v="Kurti - Blue M"/>
    <x v="2"/>
    <s v="Kurti"/>
    <s v="M"/>
    <s v="Blue"/>
    <n v="1"/>
    <n v="1713"/>
    <n v="1574"/>
    <n v="8"/>
    <n v="139"/>
    <s v="SLR201"/>
    <s v="TrendyFashion"/>
    <s v="COD"/>
    <d v="2025-01-07T00:00:00"/>
    <m/>
    <s v="No"/>
    <m/>
    <n v="0"/>
    <n v="1574"/>
  </r>
  <r>
    <s v="MSH2025-027"/>
    <d v="2025-01-03T00:00:00"/>
    <x v="2"/>
    <s v="CUST1027"/>
    <s v="Mumbai"/>
    <x v="5"/>
    <s v="PRD9153"/>
    <s v="T-shirt - Green 38"/>
    <x v="0"/>
    <s v="T-shirt"/>
    <n v="38"/>
    <s v="Green"/>
    <n v="2"/>
    <n v="1611"/>
    <n v="1241"/>
    <n v="23"/>
    <n v="370"/>
    <s v="SLR432"/>
    <s v="BagStore"/>
    <s v="COD"/>
    <d v="2025-01-04T00:00:00"/>
    <m/>
    <s v="No"/>
    <m/>
    <n v="0"/>
    <n v="2482"/>
  </r>
  <r>
    <s v="MSH2025-028"/>
    <d v="2025-01-16T00:00:00"/>
    <x v="2"/>
    <s v="CUST1028"/>
    <s v="Jaipur"/>
    <x v="3"/>
    <s v="PRD3156"/>
    <s v="Handbag - Yellow 44"/>
    <x v="1"/>
    <s v="Handbag"/>
    <n v="44"/>
    <s v="Yellow"/>
    <n v="2"/>
    <n v="1429"/>
    <n v="1065"/>
    <n v="25"/>
    <n v="364"/>
    <s v="SLR470"/>
    <s v="EthnicBazaar"/>
    <s v="COD"/>
    <d v="2025-01-17T00:00:00"/>
    <m/>
    <s v="No"/>
    <m/>
    <n v="0"/>
    <n v="2130"/>
  </r>
  <r>
    <s v="MSH2025-029"/>
    <d v="2025-01-01T00:00:00"/>
    <x v="1"/>
    <s v="CUST1029"/>
    <s v="Kolkata"/>
    <x v="4"/>
    <s v="PRD9688"/>
    <s v="Leggings - Pink 40"/>
    <x v="2"/>
    <s v="Leggings"/>
    <n v="40"/>
    <s v="Pink"/>
    <n v="2"/>
    <n v="1828"/>
    <n v="1495"/>
    <n v="18"/>
    <n v="333"/>
    <s v="SLR258"/>
    <s v="MenStyleHub"/>
    <s v="COD"/>
    <d v="2025-01-02T00:00:00"/>
    <m/>
    <s v="Yes"/>
    <m/>
    <n v="1495"/>
    <n v="2990"/>
  </r>
  <r>
    <s v="MSH2025-030"/>
    <d v="2025-01-12T00:00:00"/>
    <x v="2"/>
    <s v="CUST1030"/>
    <s v="Kanpur"/>
    <x v="2"/>
    <s v="PRD3720"/>
    <s v="T-shirt - Yellow L"/>
    <x v="0"/>
    <s v="T-shirt"/>
    <s v="L"/>
    <s v="Yellow"/>
    <n v="3"/>
    <n v="1049"/>
    <n v="803"/>
    <n v="23"/>
    <n v="246"/>
    <s v="SLR113"/>
    <s v="FootwearPlaza"/>
    <s v="COD"/>
    <d v="2025-01-13T00:00:00"/>
    <m/>
    <s v="No"/>
    <m/>
    <n v="0"/>
    <n v="2409"/>
  </r>
  <r>
    <s v="MSH2025-031"/>
    <d v="2025-01-04T00:00:00"/>
    <x v="3"/>
    <s v="CUST1031"/>
    <s v="Chennai"/>
    <x v="8"/>
    <s v="PRD9968"/>
    <s v="Handbag - Brown L"/>
    <x v="1"/>
    <s v="Handbag"/>
    <s v="L"/>
    <s v="Brown"/>
    <n v="1"/>
    <n v="847"/>
    <n v="598"/>
    <n v="29"/>
    <n v="249"/>
    <s v="SLR396"/>
    <s v="FootwearPlaza"/>
    <s v="Online"/>
    <m/>
    <m/>
    <s v="No"/>
    <m/>
    <n v="0"/>
    <n v="598"/>
  </r>
  <r>
    <s v="MSH2025-032"/>
    <d v="2025-01-23T00:00:00"/>
    <x v="2"/>
    <s v="CUST1032"/>
    <s v="Bengaluru"/>
    <x v="1"/>
    <s v="PRD1543"/>
    <s v="Saree - Green 42"/>
    <x v="2"/>
    <s v="Saree"/>
    <n v="42"/>
    <s v="Green"/>
    <n v="1"/>
    <n v="626"/>
    <n v="444"/>
    <n v="29"/>
    <n v="182"/>
    <s v="SLR142"/>
    <s v="KidsWorld"/>
    <s v="Online"/>
    <d v="2025-01-24T00:00:00"/>
    <m/>
    <s v="No"/>
    <m/>
    <n v="0"/>
    <n v="444"/>
  </r>
  <r>
    <s v="MSH2025-033"/>
    <d v="2025-01-31T00:00:00"/>
    <x v="2"/>
    <s v="CUST1033"/>
    <s v="Ahmedabad"/>
    <x v="0"/>
    <s v="PRD7937"/>
    <s v="Saree - Maroon L"/>
    <x v="2"/>
    <s v="Saree"/>
    <s v="L"/>
    <s v="Maroon"/>
    <n v="3"/>
    <n v="625"/>
    <n v="327"/>
    <n v="48"/>
    <n v="298"/>
    <s v="SLR403"/>
    <s v="MenStyleHub"/>
    <s v="COD"/>
    <d v="2025-02-01T00:00:00"/>
    <m/>
    <s v="No"/>
    <m/>
    <n v="0"/>
    <n v="981"/>
  </r>
  <r>
    <s v="MSH2025-034"/>
    <d v="2025-02-04T00:00:00"/>
    <x v="2"/>
    <s v="CUST1034"/>
    <s v="Bengaluru"/>
    <x v="1"/>
    <s v="PRD6402"/>
    <s v="Palazzo Set - Green 9"/>
    <x v="2"/>
    <s v="Palazzo Set"/>
    <n v="9"/>
    <s v="Green"/>
    <n v="3"/>
    <n v="1396"/>
    <n v="1116"/>
    <n v="20"/>
    <n v="280"/>
    <s v="SLR478"/>
    <s v="ShoeHub"/>
    <s v="Online"/>
    <d v="2025-02-05T00:00:00"/>
    <m/>
    <s v="No"/>
    <m/>
    <n v="0"/>
    <n v="3348"/>
  </r>
  <r>
    <s v="MSH2025-035"/>
    <d v="2025-01-26T00:00:00"/>
    <x v="0"/>
    <s v="CUST1035"/>
    <s v="Kolkata"/>
    <x v="4"/>
    <s v="PRD5895"/>
    <s v="Sports Shoes - Brown M"/>
    <x v="4"/>
    <s v="Sports Shoes"/>
    <s v="M"/>
    <s v="Brown"/>
    <n v="1"/>
    <n v="1751"/>
    <n v="1524"/>
    <n v="13"/>
    <n v="227"/>
    <s v="SLR245"/>
    <s v="EthnicBazaar"/>
    <s v="COD"/>
    <d v="2025-01-27T00:00:00"/>
    <d v="2025-01-31T00:00:00"/>
    <s v="No"/>
    <m/>
    <n v="0"/>
    <n v="1524"/>
  </r>
  <r>
    <s v="MSH2025-036"/>
    <d v="2025-01-16T00:00:00"/>
    <x v="1"/>
    <s v="CUST1036"/>
    <s v="Bengaluru"/>
    <x v="1"/>
    <s v="PRD6960"/>
    <s v="Leggings - White S"/>
    <x v="2"/>
    <s v="Leggings"/>
    <s v="S"/>
    <s v="White"/>
    <n v="2"/>
    <n v="629"/>
    <n v="478"/>
    <n v="24"/>
    <n v="151"/>
    <s v="SLR336"/>
    <s v="ShoeHub"/>
    <s v="Online"/>
    <d v="2025-01-17T00:00:00"/>
    <m/>
    <s v="Yes"/>
    <m/>
    <n v="478"/>
    <n v="956"/>
  </r>
  <r>
    <s v="MSH2025-037"/>
    <d v="2025-01-28T00:00:00"/>
    <x v="1"/>
    <s v="CUST1037"/>
    <s v="Ahmedabad"/>
    <x v="0"/>
    <s v="PRD6279"/>
    <s v="Palazzo Set - Maroon 42"/>
    <x v="2"/>
    <s v="Palazzo Set"/>
    <n v="42"/>
    <s v="Maroon"/>
    <n v="3"/>
    <n v="1939"/>
    <n v="1758"/>
    <n v="9"/>
    <n v="181"/>
    <s v="SLR494"/>
    <s v="MenStyleHub"/>
    <s v="Online"/>
    <d v="2025-01-29T00:00:00"/>
    <m/>
    <s v="Yes"/>
    <m/>
    <n v="1758"/>
    <n v="5274"/>
  </r>
  <r>
    <s v="MSH2025-038"/>
    <d v="2025-01-13T00:00:00"/>
    <x v="0"/>
    <s v="CUST1038"/>
    <s v="Ahmedabad"/>
    <x v="0"/>
    <s v="PRD5519"/>
    <s v="Leggings - Yellow XXL"/>
    <x v="2"/>
    <s v="Leggings"/>
    <s v="XXL"/>
    <s v="Yellow"/>
    <n v="3"/>
    <n v="623"/>
    <n v="553"/>
    <n v="11"/>
    <n v="70"/>
    <s v="SLR436"/>
    <s v="BudgetFashion"/>
    <s v="Online"/>
    <d v="2025-01-14T00:00:00"/>
    <d v="2025-01-18T00:00:00"/>
    <s v="No"/>
    <m/>
    <n v="0"/>
    <n v="1659"/>
  </r>
  <r>
    <s v="MSH2025-039"/>
    <d v="2025-02-05T00:00:00"/>
    <x v="3"/>
    <s v="CUST1039"/>
    <s v="Jaipur"/>
    <x v="3"/>
    <s v="PRD7644"/>
    <s v="T-shirt - Blue 44"/>
    <x v="3"/>
    <s v="T-shirt"/>
    <n v="44"/>
    <s v="Blue"/>
    <n v="1"/>
    <n v="1001"/>
    <n v="612"/>
    <n v="39"/>
    <n v="389"/>
    <s v="SLR372"/>
    <s v="FashionKart"/>
    <s v="COD"/>
    <m/>
    <m/>
    <s v="No"/>
    <m/>
    <n v="0"/>
    <n v="612"/>
  </r>
  <r>
    <s v="MSH2025-040"/>
    <d v="2025-01-22T00:00:00"/>
    <x v="1"/>
    <s v="CUST1040"/>
    <s v="Delhi"/>
    <x v="7"/>
    <s v="PRD6057"/>
    <s v="T-shirt - Grey 9"/>
    <x v="3"/>
    <s v="T-shirt"/>
    <n v="9"/>
    <s v="Grey"/>
    <n v="3"/>
    <n v="654"/>
    <n v="277"/>
    <n v="58"/>
    <n v="377"/>
    <s v="SLR282"/>
    <s v="BagStore"/>
    <s v="Online"/>
    <d v="2025-01-23T00:00:00"/>
    <m/>
    <s v="Yes"/>
    <m/>
    <n v="277"/>
    <n v="831"/>
  </r>
  <r>
    <s v="MSH2025-041"/>
    <d v="2025-02-07T00:00:00"/>
    <x v="3"/>
    <s v="CUST1041"/>
    <s v="Bengaluru"/>
    <x v="1"/>
    <s v="PRD9756"/>
    <s v="Handbag - Blue L"/>
    <x v="1"/>
    <s v="Handbag"/>
    <s v="L"/>
    <s v="Blue"/>
    <n v="3"/>
    <n v="1136"/>
    <n v="819"/>
    <n v="28"/>
    <n v="317"/>
    <s v="SLR73"/>
    <s v="SportStyle"/>
    <s v="COD"/>
    <m/>
    <m/>
    <s v="No"/>
    <m/>
    <n v="0"/>
    <n v="2457"/>
  </r>
  <r>
    <s v="MSH2025-042"/>
    <d v="2025-01-08T00:00:00"/>
    <x v="0"/>
    <s v="CUST1042"/>
    <s v="Surat"/>
    <x v="0"/>
    <s v="PRD2591"/>
    <s v="Palazzo Set - Yellow 9"/>
    <x v="2"/>
    <s v="Palazzo Set"/>
    <n v="9"/>
    <s v="Yellow"/>
    <n v="2"/>
    <n v="1273"/>
    <n v="1013"/>
    <n v="20"/>
    <n v="260"/>
    <s v="SLR133"/>
    <s v="MenStyleHub"/>
    <s v="Online"/>
    <d v="2025-01-09T00:00:00"/>
    <d v="2025-01-14T00:00:00"/>
    <s v="No"/>
    <m/>
    <n v="0"/>
    <n v="2026"/>
  </r>
  <r>
    <s v="MSH2025-043"/>
    <d v="2025-01-24T00:00:00"/>
    <x v="2"/>
    <s v="CUST1043"/>
    <s v="Delhi"/>
    <x v="7"/>
    <s v="PRD9946"/>
    <s v="Track Pants - Brown 6-7Y"/>
    <x v="0"/>
    <s v="Track Pants"/>
    <s v="6-7Y"/>
    <s v="Brown"/>
    <n v="3"/>
    <n v="1164"/>
    <n v="911"/>
    <n v="22"/>
    <n v="253"/>
    <s v="SLR390"/>
    <s v="BudgetFashion"/>
    <s v="COD"/>
    <d v="2025-01-25T00:00:00"/>
    <m/>
    <s v="No"/>
    <m/>
    <n v="0"/>
    <n v="2733"/>
  </r>
  <r>
    <s v="MSH2025-044"/>
    <d v="2025-01-17T00:00:00"/>
    <x v="0"/>
    <s v="CUST1044"/>
    <s v="Ahmedabad"/>
    <x v="0"/>
    <s v="PRD1287"/>
    <s v="Shirt - Blue XXL"/>
    <x v="0"/>
    <s v="Shirt"/>
    <s v="XXL"/>
    <s v="Blue"/>
    <n v="1"/>
    <n v="1438"/>
    <n v="1290"/>
    <n v="10"/>
    <n v="148"/>
    <s v="SLR67"/>
    <s v="TrendyFashion"/>
    <s v="Online"/>
    <d v="2025-01-18T00:00:00"/>
    <d v="2025-01-22T00:00:00"/>
    <s v="No"/>
    <m/>
    <n v="0"/>
    <n v="1290"/>
  </r>
  <r>
    <s v="MSH2025-045"/>
    <d v="2025-01-01T00:00:00"/>
    <x v="1"/>
    <s v="CUST1045"/>
    <s v="Mumbai"/>
    <x v="5"/>
    <s v="PRD7119"/>
    <s v="T-shirt - Green 9"/>
    <x v="0"/>
    <s v="T-shirt"/>
    <n v="9"/>
    <s v="Green"/>
    <n v="1"/>
    <n v="1216"/>
    <n v="1158"/>
    <n v="5"/>
    <n v="58"/>
    <s v="SLR427"/>
    <s v="SportStyle"/>
    <s v="COD"/>
    <d v="2025-01-02T00:00:00"/>
    <m/>
    <s v="Yes"/>
    <m/>
    <n v="1158"/>
    <n v="1158"/>
  </r>
  <r>
    <s v="MSH2025-046"/>
    <d v="2025-01-16T00:00:00"/>
    <x v="1"/>
    <s v="CUST1046"/>
    <s v="Mumbai"/>
    <x v="5"/>
    <s v="PRD2493"/>
    <s v="Shirt - Blue 44"/>
    <x v="0"/>
    <s v="Shirt"/>
    <n v="44"/>
    <s v="Blue"/>
    <n v="1"/>
    <n v="1051"/>
    <n v="960"/>
    <n v="9"/>
    <n v="91"/>
    <s v="SLR241"/>
    <s v="FashionKart"/>
    <s v="COD"/>
    <d v="2025-01-17T00:00:00"/>
    <m/>
    <s v="Yes"/>
    <m/>
    <n v="960"/>
    <n v="960"/>
  </r>
  <r>
    <s v="MSH2025-047"/>
    <d v="2025-01-26T00:00:00"/>
    <x v="2"/>
    <s v="CUST1047"/>
    <s v="Ahmedabad"/>
    <x v="0"/>
    <s v="PRD2817"/>
    <s v="Palazzo Set - Brown 38"/>
    <x v="2"/>
    <s v="Palazzo Set"/>
    <n v="38"/>
    <s v="Brown"/>
    <n v="1"/>
    <n v="1212"/>
    <n v="1152"/>
    <n v="5"/>
    <n v="60"/>
    <s v="SLR253"/>
    <s v="FootwearPlaza"/>
    <s v="COD"/>
    <d v="2025-01-27T00:00:00"/>
    <m/>
    <s v="No"/>
    <m/>
    <n v="0"/>
    <n v="1152"/>
  </r>
  <r>
    <s v="MSH2025-048"/>
    <d v="2025-01-18T00:00:00"/>
    <x v="1"/>
    <s v="CUST1048"/>
    <s v="Mumbai"/>
    <x v="5"/>
    <s v="PRD3443"/>
    <s v="Saree - Brown 40"/>
    <x v="2"/>
    <s v="Saree"/>
    <n v="40"/>
    <s v="Brown"/>
    <n v="3"/>
    <n v="1421"/>
    <n v="1304"/>
    <n v="8"/>
    <n v="117"/>
    <s v="SLR212"/>
    <s v="TrendyFashion"/>
    <s v="COD"/>
    <d v="2025-01-19T00:00:00"/>
    <m/>
    <s v="Yes"/>
    <m/>
    <n v="1304"/>
    <n v="3912"/>
  </r>
  <r>
    <s v="MSH2025-049"/>
    <d v="2025-01-11T00:00:00"/>
    <x v="3"/>
    <s v="CUST1049"/>
    <s v="Surat"/>
    <x v="0"/>
    <s v="PRD7484"/>
    <s v="T-shirt - Pink 9"/>
    <x v="3"/>
    <s v="T-shirt"/>
    <n v="9"/>
    <s v="Pink"/>
    <n v="2"/>
    <n v="969"/>
    <n v="851"/>
    <n v="12"/>
    <n v="118"/>
    <s v="SLR369"/>
    <s v="FootwearPlaza"/>
    <s v="Online"/>
    <m/>
    <m/>
    <s v="No"/>
    <m/>
    <n v="0"/>
    <n v="1702"/>
  </r>
  <r>
    <s v="MSH2025-050"/>
    <d v="2025-01-30T00:00:00"/>
    <x v="2"/>
    <s v="CUST1050"/>
    <s v="Kolkata"/>
    <x v="4"/>
    <s v="PRD2137"/>
    <s v="T-shirt - Green 38"/>
    <x v="0"/>
    <s v="T-shirt"/>
    <n v="38"/>
    <s v="Green"/>
    <n v="2"/>
    <n v="1206"/>
    <n v="967"/>
    <n v="20"/>
    <n v="239"/>
    <s v="SLR347"/>
    <s v="BudgetFashion"/>
    <s v="COD"/>
    <d v="2025-01-31T00:00:00"/>
    <m/>
    <s v="No"/>
    <m/>
    <n v="0"/>
    <n v="19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C8B3DE-CBB9-41E5-A6EA-E411201C4AC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6"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3"/>
        <item x="0"/>
        <item x="1"/>
        <item x="2"/>
        <item t="default"/>
      </items>
    </pivotField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dataField="1" numFmtId="1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_Value" fld="25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7BF961-FB4C-4450-8DAF-E007DC40A40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6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3"/>
        <item x="0"/>
        <item x="1"/>
        <item x="2"/>
        <item t="default"/>
      </items>
    </pivotField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99B174-C7B0-4519-86A1-3468AE33761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26">
    <pivotField showAll="0"/>
    <pivotField numFmtId="14" showAll="0"/>
    <pivotField showAll="0"/>
    <pivotField showAll="0"/>
    <pivotField showAll="0"/>
    <pivotField axis="axisRow" showAll="0">
      <items count="10">
        <item x="7"/>
        <item x="0"/>
        <item x="1"/>
        <item x="5"/>
        <item x="3"/>
        <item x="8"/>
        <item x="6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dataField="1" numFmtId="1" showAll="0"/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Sales_Value" fld="25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7B9FF4-70FE-49F8-AD0D-2C4A44D325D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6">
    <pivotField dataField="1" showAll="0"/>
    <pivotField numFmtId="14"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E6212-C7A8-4A99-98A5-BF57C64F31B6}">
  <dimension ref="A3:B9"/>
  <sheetViews>
    <sheetView workbookViewId="0">
      <selection activeCell="A3" sqref="A3"/>
    </sheetView>
  </sheetViews>
  <sheetFormatPr defaultRowHeight="14.4" x14ac:dyDescent="0.3"/>
  <cols>
    <col min="1" max="1" width="17.5546875" bestFit="1" customWidth="1"/>
    <col min="2" max="2" width="17.6640625" bestFit="1" customWidth="1"/>
  </cols>
  <sheetData>
    <row r="3" spans="1:2" x14ac:dyDescent="0.3">
      <c r="A3" s="6" t="s">
        <v>340</v>
      </c>
      <c r="B3" t="s">
        <v>342</v>
      </c>
    </row>
    <row r="4" spans="1:2" x14ac:dyDescent="0.3">
      <c r="A4" s="7" t="s">
        <v>139</v>
      </c>
      <c r="B4" s="4">
        <v>6276</v>
      </c>
    </row>
    <row r="5" spans="1:2" x14ac:dyDescent="0.3">
      <c r="A5" s="7" t="s">
        <v>78</v>
      </c>
      <c r="B5" s="4">
        <v>7012</v>
      </c>
    </row>
    <row r="6" spans="1:2" x14ac:dyDescent="0.3">
      <c r="A6" s="7" t="s">
        <v>30</v>
      </c>
      <c r="B6" s="4">
        <v>34637</v>
      </c>
    </row>
    <row r="7" spans="1:2" x14ac:dyDescent="0.3">
      <c r="A7" s="7" t="s">
        <v>45</v>
      </c>
      <c r="B7" s="4">
        <v>9174</v>
      </c>
    </row>
    <row r="8" spans="1:2" x14ac:dyDescent="0.3">
      <c r="A8" s="7" t="s">
        <v>54</v>
      </c>
      <c r="B8" s="4">
        <v>36989</v>
      </c>
    </row>
    <row r="9" spans="1:2" x14ac:dyDescent="0.3">
      <c r="A9" s="7" t="s">
        <v>341</v>
      </c>
      <c r="B9" s="4">
        <v>94088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0539A-5AB9-4E69-8179-12788107F64F}">
  <dimension ref="A3:B9"/>
  <sheetViews>
    <sheetView workbookViewId="0">
      <selection activeCell="A3" sqref="A3"/>
    </sheetView>
  </sheetViews>
  <sheetFormatPr defaultRowHeight="14.4" x14ac:dyDescent="0.3"/>
  <cols>
    <col min="1" max="1" width="17.5546875" bestFit="1" customWidth="1"/>
    <col min="2" max="2" width="16.44140625" bestFit="1" customWidth="1"/>
  </cols>
  <sheetData>
    <row r="3" spans="1:2" x14ac:dyDescent="0.3">
      <c r="A3" s="6" t="s">
        <v>340</v>
      </c>
      <c r="B3" t="s">
        <v>343</v>
      </c>
    </row>
    <row r="4" spans="1:2" x14ac:dyDescent="0.3">
      <c r="A4" s="7" t="s">
        <v>139</v>
      </c>
      <c r="B4">
        <v>3</v>
      </c>
    </row>
    <row r="5" spans="1:2" x14ac:dyDescent="0.3">
      <c r="A5" s="7" t="s">
        <v>78</v>
      </c>
      <c r="B5">
        <v>5</v>
      </c>
    </row>
    <row r="6" spans="1:2" x14ac:dyDescent="0.3">
      <c r="A6" s="7" t="s">
        <v>30</v>
      </c>
      <c r="B6">
        <v>16</v>
      </c>
    </row>
    <row r="7" spans="1:2" x14ac:dyDescent="0.3">
      <c r="A7" s="7" t="s">
        <v>45</v>
      </c>
      <c r="B7">
        <v>5</v>
      </c>
    </row>
    <row r="8" spans="1:2" x14ac:dyDescent="0.3">
      <c r="A8" s="7" t="s">
        <v>54</v>
      </c>
      <c r="B8">
        <v>21</v>
      </c>
    </row>
    <row r="9" spans="1:2" x14ac:dyDescent="0.3">
      <c r="A9" s="7" t="s">
        <v>341</v>
      </c>
      <c r="B9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07790-1572-4FE8-A291-92C8E63F1BF9}">
  <dimension ref="A3:B13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7.6640625" bestFit="1" customWidth="1"/>
  </cols>
  <sheetData>
    <row r="3" spans="1:2" x14ac:dyDescent="0.3">
      <c r="A3" s="6" t="s">
        <v>340</v>
      </c>
      <c r="B3" t="s">
        <v>342</v>
      </c>
    </row>
    <row r="4" spans="1:2" x14ac:dyDescent="0.3">
      <c r="A4" s="7" t="s">
        <v>175</v>
      </c>
      <c r="B4" s="4">
        <v>7836</v>
      </c>
    </row>
    <row r="5" spans="1:2" x14ac:dyDescent="0.3">
      <c r="A5" s="7" t="s">
        <v>27</v>
      </c>
      <c r="B5" s="4">
        <v>23181</v>
      </c>
    </row>
    <row r="6" spans="1:2" x14ac:dyDescent="0.3">
      <c r="A6" s="7" t="s">
        <v>42</v>
      </c>
      <c r="B6" s="4">
        <v>17251</v>
      </c>
    </row>
    <row r="7" spans="1:2" x14ac:dyDescent="0.3">
      <c r="A7" s="7" t="s">
        <v>120</v>
      </c>
      <c r="B7" s="4">
        <v>10279</v>
      </c>
    </row>
    <row r="8" spans="1:2" x14ac:dyDescent="0.3">
      <c r="A8" s="7" t="s">
        <v>75</v>
      </c>
      <c r="B8" s="4">
        <v>8756</v>
      </c>
    </row>
    <row r="9" spans="1:2" x14ac:dyDescent="0.3">
      <c r="A9" s="7" t="s">
        <v>187</v>
      </c>
      <c r="B9" s="4">
        <v>2836</v>
      </c>
    </row>
    <row r="10" spans="1:2" x14ac:dyDescent="0.3">
      <c r="A10" s="7" t="s">
        <v>136</v>
      </c>
      <c r="B10" s="4">
        <v>4584</v>
      </c>
    </row>
    <row r="11" spans="1:2" x14ac:dyDescent="0.3">
      <c r="A11" s="7" t="s">
        <v>65</v>
      </c>
      <c r="B11" s="4">
        <v>10236</v>
      </c>
    </row>
    <row r="12" spans="1:2" x14ac:dyDescent="0.3">
      <c r="A12" s="7" t="s">
        <v>106</v>
      </c>
      <c r="B12" s="4">
        <v>9129</v>
      </c>
    </row>
    <row r="13" spans="1:2" x14ac:dyDescent="0.3">
      <c r="A13" s="7" t="s">
        <v>341</v>
      </c>
      <c r="B13" s="4">
        <v>94088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2AF37-0DD5-40CD-8499-99C965037EC0}">
  <dimension ref="A3:B8"/>
  <sheetViews>
    <sheetView workbookViewId="0">
      <selection activeCell="A3" sqref="A3"/>
    </sheetView>
  </sheetViews>
  <sheetFormatPr defaultRowHeight="14.4" x14ac:dyDescent="0.3"/>
  <cols>
    <col min="1" max="1" width="14" bestFit="1" customWidth="1"/>
    <col min="2" max="2" width="16.44140625" bestFit="1" customWidth="1"/>
  </cols>
  <sheetData>
    <row r="3" spans="1:2" x14ac:dyDescent="0.3">
      <c r="A3" s="6" t="s">
        <v>340</v>
      </c>
      <c r="B3" t="s">
        <v>343</v>
      </c>
    </row>
    <row r="4" spans="1:2" x14ac:dyDescent="0.3">
      <c r="A4" s="7" t="s">
        <v>132</v>
      </c>
      <c r="B4">
        <v>7</v>
      </c>
    </row>
    <row r="5" spans="1:2" x14ac:dyDescent="0.3">
      <c r="A5" s="7" t="s">
        <v>37</v>
      </c>
      <c r="B5">
        <v>9</v>
      </c>
    </row>
    <row r="6" spans="1:2" x14ac:dyDescent="0.3">
      <c r="A6" s="7" t="s">
        <v>71</v>
      </c>
      <c r="B6">
        <v>19</v>
      </c>
    </row>
    <row r="7" spans="1:2" x14ac:dyDescent="0.3">
      <c r="A7" s="7" t="s">
        <v>60</v>
      </c>
      <c r="B7">
        <v>15</v>
      </c>
    </row>
    <row r="8" spans="1:2" x14ac:dyDescent="0.3">
      <c r="A8" s="7" t="s">
        <v>341</v>
      </c>
      <c r="B8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E040D-9A97-40B2-B7D0-41B7DC7FCDDC}">
  <dimension ref="A1:Z51"/>
  <sheetViews>
    <sheetView tabSelected="1" topLeftCell="H1" workbookViewId="0">
      <selection activeCell="P12" sqref="P12"/>
    </sheetView>
  </sheetViews>
  <sheetFormatPr defaultRowHeight="14.4" x14ac:dyDescent="0.3"/>
  <cols>
    <col min="1" max="1" width="13.88671875" customWidth="1"/>
    <col min="2" max="2" width="12.88671875" style="1" customWidth="1"/>
    <col min="3" max="3" width="15.109375" customWidth="1"/>
    <col min="4" max="4" width="15.21875" customWidth="1"/>
    <col min="5" max="5" width="16.6640625" customWidth="1"/>
    <col min="6" max="6" width="16.77734375" customWidth="1"/>
    <col min="7" max="7" width="14.33203125" customWidth="1"/>
    <col min="8" max="8" width="25.21875" customWidth="1"/>
    <col min="9" max="9" width="18.109375" customWidth="1"/>
    <col min="10" max="10" width="17.109375" customWidth="1"/>
    <col min="13" max="13" width="11.77734375" style="4" customWidth="1"/>
    <col min="14" max="14" width="8.88671875" style="4"/>
    <col min="15" max="15" width="11.6640625" style="4" customWidth="1"/>
    <col min="16" max="16" width="20.77734375" style="4" customWidth="1"/>
    <col min="17" max="17" width="19.21875" style="4" customWidth="1"/>
    <col min="18" max="18" width="12.77734375" customWidth="1"/>
    <col min="19" max="19" width="16.33203125" customWidth="1"/>
    <col min="20" max="20" width="16.6640625" customWidth="1"/>
    <col min="21" max="21" width="17.33203125" style="1" customWidth="1"/>
    <col min="22" max="22" width="17" style="1" customWidth="1"/>
    <col min="23" max="23" width="16.109375" customWidth="1"/>
    <col min="24" max="24" width="15.5546875" style="1" customWidth="1"/>
    <col min="25" max="25" width="17.88671875" style="4" customWidth="1"/>
    <col min="26" max="26" width="14.6640625" style="4" customWidth="1"/>
  </cols>
  <sheetData>
    <row r="1" spans="1:26" x14ac:dyDescent="0.3">
      <c r="A1" s="2" t="s">
        <v>0</v>
      </c>
      <c r="B1" s="5" t="s">
        <v>1</v>
      </c>
      <c r="C1" s="2" t="s">
        <v>18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3" t="s">
        <v>11</v>
      </c>
      <c r="N1" s="3" t="s">
        <v>12</v>
      </c>
      <c r="O1" s="3" t="s">
        <v>13</v>
      </c>
      <c r="P1" s="14" t="s">
        <v>14</v>
      </c>
      <c r="Q1" s="3" t="s">
        <v>339</v>
      </c>
      <c r="R1" s="2" t="s">
        <v>15</v>
      </c>
      <c r="S1" s="2" t="s">
        <v>16</v>
      </c>
      <c r="T1" s="2" t="s">
        <v>17</v>
      </c>
      <c r="U1" s="5" t="s">
        <v>19</v>
      </c>
      <c r="V1" s="5" t="s">
        <v>20</v>
      </c>
      <c r="W1" s="2" t="s">
        <v>21</v>
      </c>
      <c r="X1" s="5" t="s">
        <v>22</v>
      </c>
      <c r="Y1" s="3" t="s">
        <v>23</v>
      </c>
      <c r="Z1" s="3" t="s">
        <v>338</v>
      </c>
    </row>
    <row r="2" spans="1:26" x14ac:dyDescent="0.3">
      <c r="A2" t="s">
        <v>207</v>
      </c>
      <c r="B2" s="1">
        <v>45659</v>
      </c>
      <c r="C2" s="11" t="s">
        <v>132</v>
      </c>
      <c r="D2" t="s">
        <v>208</v>
      </c>
      <c r="E2" t="s">
        <v>74</v>
      </c>
      <c r="F2" t="s">
        <v>75</v>
      </c>
      <c r="G2" t="s">
        <v>209</v>
      </c>
      <c r="H2" t="s">
        <v>210</v>
      </c>
      <c r="I2" t="s">
        <v>54</v>
      </c>
      <c r="J2" t="s">
        <v>68</v>
      </c>
      <c r="K2" t="s">
        <v>56</v>
      </c>
      <c r="L2" t="s">
        <v>33</v>
      </c>
      <c r="M2" s="13">
        <v>3</v>
      </c>
      <c r="N2" s="4">
        <v>493</v>
      </c>
      <c r="O2" s="4">
        <v>176</v>
      </c>
      <c r="P2" s="13">
        <v>64</v>
      </c>
      <c r="Q2" s="4">
        <f>N2-O2</f>
        <v>317</v>
      </c>
      <c r="R2" t="s">
        <v>211</v>
      </c>
      <c r="S2" t="s">
        <v>160</v>
      </c>
      <c r="T2" t="s">
        <v>59</v>
      </c>
      <c r="W2" s="9" t="s">
        <v>38</v>
      </c>
      <c r="Y2" s="4">
        <v>0</v>
      </c>
      <c r="Z2" s="12">
        <f>M2*O2</f>
        <v>528</v>
      </c>
    </row>
    <row r="3" spans="1:26" x14ac:dyDescent="0.3">
      <c r="A3" t="s">
        <v>202</v>
      </c>
      <c r="B3" s="1">
        <v>45690</v>
      </c>
      <c r="C3" s="11" t="s">
        <v>132</v>
      </c>
      <c r="D3" t="s">
        <v>203</v>
      </c>
      <c r="E3" t="s">
        <v>105</v>
      </c>
      <c r="F3" t="s">
        <v>106</v>
      </c>
      <c r="G3" t="s">
        <v>204</v>
      </c>
      <c r="H3" t="s">
        <v>205</v>
      </c>
      <c r="I3" t="s">
        <v>54</v>
      </c>
      <c r="J3" t="s">
        <v>195</v>
      </c>
      <c r="K3" t="s">
        <v>115</v>
      </c>
      <c r="L3" t="s">
        <v>47</v>
      </c>
      <c r="M3" s="13">
        <v>1</v>
      </c>
      <c r="N3" s="4">
        <v>531</v>
      </c>
      <c r="O3" s="4">
        <v>219</v>
      </c>
      <c r="P3" s="4">
        <v>59</v>
      </c>
      <c r="Q3" s="4">
        <f>N3-O3</f>
        <v>312</v>
      </c>
      <c r="R3" t="s">
        <v>206</v>
      </c>
      <c r="S3" t="s">
        <v>70</v>
      </c>
      <c r="T3" t="s">
        <v>36</v>
      </c>
      <c r="W3" s="9" t="s">
        <v>38</v>
      </c>
      <c r="Y3" s="4">
        <v>0</v>
      </c>
      <c r="Z3" s="12">
        <f>M3*O3</f>
        <v>219</v>
      </c>
    </row>
    <row r="4" spans="1:26" x14ac:dyDescent="0.3">
      <c r="A4" t="s">
        <v>284</v>
      </c>
      <c r="B4" s="1">
        <v>45679</v>
      </c>
      <c r="C4" s="10" t="s">
        <v>60</v>
      </c>
      <c r="D4" t="s">
        <v>285</v>
      </c>
      <c r="E4" t="s">
        <v>175</v>
      </c>
      <c r="F4" t="s">
        <v>175</v>
      </c>
      <c r="G4" t="s">
        <v>286</v>
      </c>
      <c r="H4" t="s">
        <v>287</v>
      </c>
      <c r="I4" t="s">
        <v>78</v>
      </c>
      <c r="J4" t="s">
        <v>79</v>
      </c>
      <c r="K4">
        <v>9</v>
      </c>
      <c r="L4" t="s">
        <v>33</v>
      </c>
      <c r="M4" s="4">
        <v>3</v>
      </c>
      <c r="N4" s="4">
        <v>654</v>
      </c>
      <c r="O4" s="4">
        <v>277</v>
      </c>
      <c r="P4" s="4">
        <v>58</v>
      </c>
      <c r="Q4" s="4">
        <f>N4-O4</f>
        <v>377</v>
      </c>
      <c r="R4" t="s">
        <v>288</v>
      </c>
      <c r="S4" t="s">
        <v>70</v>
      </c>
      <c r="T4" t="s">
        <v>59</v>
      </c>
      <c r="U4" s="1">
        <v>45680</v>
      </c>
      <c r="W4" s="10" t="s">
        <v>61</v>
      </c>
      <c r="Y4" s="4">
        <v>277</v>
      </c>
      <c r="Z4" s="12">
        <f>M4*O4</f>
        <v>831</v>
      </c>
    </row>
    <row r="5" spans="1:26" x14ac:dyDescent="0.3">
      <c r="A5" t="s">
        <v>111</v>
      </c>
      <c r="B5" s="1">
        <v>45683</v>
      </c>
      <c r="C5" s="8" t="s">
        <v>71</v>
      </c>
      <c r="D5" t="s">
        <v>112</v>
      </c>
      <c r="E5" t="s">
        <v>41</v>
      </c>
      <c r="F5" t="s">
        <v>42</v>
      </c>
      <c r="G5" t="s">
        <v>113</v>
      </c>
      <c r="H5" t="s">
        <v>114</v>
      </c>
      <c r="I5" t="s">
        <v>54</v>
      </c>
      <c r="J5" t="s">
        <v>109</v>
      </c>
      <c r="K5" t="s">
        <v>115</v>
      </c>
      <c r="L5" t="s">
        <v>33</v>
      </c>
      <c r="M5" s="13">
        <v>1</v>
      </c>
      <c r="N5" s="4">
        <v>684</v>
      </c>
      <c r="O5" s="4">
        <v>335</v>
      </c>
      <c r="P5" s="4">
        <v>51</v>
      </c>
      <c r="Q5" s="4">
        <f>N5-O5</f>
        <v>349</v>
      </c>
      <c r="R5" t="s">
        <v>116</v>
      </c>
      <c r="S5" t="s">
        <v>82</v>
      </c>
      <c r="T5" t="s">
        <v>59</v>
      </c>
      <c r="U5" s="1">
        <v>45684</v>
      </c>
      <c r="W5" s="9" t="s">
        <v>38</v>
      </c>
      <c r="Y5" s="4">
        <v>0</v>
      </c>
      <c r="Z5" s="12">
        <f>M5*O5</f>
        <v>335</v>
      </c>
    </row>
    <row r="6" spans="1:26" x14ac:dyDescent="0.3">
      <c r="A6" t="s">
        <v>248</v>
      </c>
      <c r="B6" s="1">
        <v>45688</v>
      </c>
      <c r="C6" s="8" t="s">
        <v>71</v>
      </c>
      <c r="D6" t="s">
        <v>249</v>
      </c>
      <c r="E6" t="s">
        <v>26</v>
      </c>
      <c r="F6" t="s">
        <v>27</v>
      </c>
      <c r="G6" t="s">
        <v>250</v>
      </c>
      <c r="H6" t="s">
        <v>251</v>
      </c>
      <c r="I6" t="s">
        <v>54</v>
      </c>
      <c r="J6" t="s">
        <v>195</v>
      </c>
      <c r="K6" t="s">
        <v>32</v>
      </c>
      <c r="L6" t="s">
        <v>94</v>
      </c>
      <c r="M6" s="4">
        <v>3</v>
      </c>
      <c r="N6" s="4">
        <v>625</v>
      </c>
      <c r="O6" s="4">
        <v>327</v>
      </c>
      <c r="P6" s="4">
        <v>48</v>
      </c>
      <c r="Q6" s="4">
        <f>N6-O6</f>
        <v>298</v>
      </c>
      <c r="R6" t="s">
        <v>252</v>
      </c>
      <c r="S6" t="s">
        <v>232</v>
      </c>
      <c r="T6" t="s">
        <v>36</v>
      </c>
      <c r="U6" s="1">
        <v>45689</v>
      </c>
      <c r="W6" s="9" t="s">
        <v>38</v>
      </c>
      <c r="Y6" s="4">
        <v>0</v>
      </c>
      <c r="Z6" s="12">
        <f>M6*O6</f>
        <v>981</v>
      </c>
    </row>
    <row r="7" spans="1:26" x14ac:dyDescent="0.3">
      <c r="A7" t="s">
        <v>279</v>
      </c>
      <c r="B7" s="1">
        <v>45693</v>
      </c>
      <c r="C7" s="11" t="s">
        <v>132</v>
      </c>
      <c r="D7" t="s">
        <v>280</v>
      </c>
      <c r="E7" t="s">
        <v>74</v>
      </c>
      <c r="F7" t="s">
        <v>75</v>
      </c>
      <c r="G7" t="s">
        <v>281</v>
      </c>
      <c r="H7" t="s">
        <v>282</v>
      </c>
      <c r="I7" t="s">
        <v>78</v>
      </c>
      <c r="J7" t="s">
        <v>79</v>
      </c>
      <c r="K7">
        <v>44</v>
      </c>
      <c r="L7" t="s">
        <v>158</v>
      </c>
      <c r="M7" s="4">
        <v>1</v>
      </c>
      <c r="N7" s="4">
        <v>1001</v>
      </c>
      <c r="O7" s="4">
        <v>612</v>
      </c>
      <c r="P7" s="4">
        <v>39</v>
      </c>
      <c r="Q7" s="4">
        <f>N7-O7</f>
        <v>389</v>
      </c>
      <c r="R7" t="s">
        <v>283</v>
      </c>
      <c r="S7" t="s">
        <v>82</v>
      </c>
      <c r="T7" t="s">
        <v>36</v>
      </c>
      <c r="W7" s="9" t="s">
        <v>38</v>
      </c>
      <c r="Y7" s="4">
        <v>0</v>
      </c>
      <c r="Z7" s="12">
        <f>M7*O7</f>
        <v>612</v>
      </c>
    </row>
    <row r="8" spans="1:26" x14ac:dyDescent="0.3">
      <c r="A8" t="s">
        <v>117</v>
      </c>
      <c r="B8" s="1">
        <v>45678</v>
      </c>
      <c r="C8" s="9" t="s">
        <v>37</v>
      </c>
      <c r="D8" t="s">
        <v>118</v>
      </c>
      <c r="E8" t="s">
        <v>119</v>
      </c>
      <c r="F8" t="s">
        <v>120</v>
      </c>
      <c r="G8" t="s">
        <v>121</v>
      </c>
      <c r="H8" t="s">
        <v>122</v>
      </c>
      <c r="I8" t="s">
        <v>78</v>
      </c>
      <c r="J8" t="s">
        <v>79</v>
      </c>
      <c r="K8">
        <v>40</v>
      </c>
      <c r="L8" t="s">
        <v>47</v>
      </c>
      <c r="M8" s="13">
        <v>3</v>
      </c>
      <c r="N8" s="4">
        <v>928</v>
      </c>
      <c r="O8" s="4">
        <v>589</v>
      </c>
      <c r="P8" s="4">
        <v>37</v>
      </c>
      <c r="Q8" s="4">
        <f>N8-O8</f>
        <v>339</v>
      </c>
      <c r="R8" t="s">
        <v>123</v>
      </c>
      <c r="S8" t="s">
        <v>124</v>
      </c>
      <c r="T8" t="s">
        <v>36</v>
      </c>
      <c r="U8" s="1">
        <v>45679</v>
      </c>
      <c r="V8" s="1">
        <v>45682</v>
      </c>
      <c r="W8" s="9" t="s">
        <v>38</v>
      </c>
      <c r="Y8" s="4">
        <v>0</v>
      </c>
      <c r="Z8" s="12">
        <f>M8*O8</f>
        <v>1767</v>
      </c>
    </row>
    <row r="9" spans="1:26" x14ac:dyDescent="0.3">
      <c r="A9" t="s">
        <v>50</v>
      </c>
      <c r="B9" s="1">
        <v>45670</v>
      </c>
      <c r="C9" s="10" t="s">
        <v>60</v>
      </c>
      <c r="D9" t="s">
        <v>51</v>
      </c>
      <c r="E9" t="s">
        <v>41</v>
      </c>
      <c r="F9" t="s">
        <v>42</v>
      </c>
      <c r="G9" t="s">
        <v>52</v>
      </c>
      <c r="H9" t="s">
        <v>53</v>
      </c>
      <c r="I9" t="s">
        <v>54</v>
      </c>
      <c r="J9" t="s">
        <v>55</v>
      </c>
      <c r="K9" t="s">
        <v>56</v>
      </c>
      <c r="L9" t="s">
        <v>57</v>
      </c>
      <c r="M9" s="13">
        <v>2</v>
      </c>
      <c r="N9" s="4">
        <v>817</v>
      </c>
      <c r="O9" s="4">
        <v>545</v>
      </c>
      <c r="P9" s="4">
        <v>33</v>
      </c>
      <c r="Q9" s="4">
        <f>N9-O9</f>
        <v>272</v>
      </c>
      <c r="R9" t="s">
        <v>58</v>
      </c>
      <c r="S9" t="s">
        <v>49</v>
      </c>
      <c r="T9" t="s">
        <v>59</v>
      </c>
      <c r="U9" s="1">
        <v>45671</v>
      </c>
      <c r="W9" s="10" t="s">
        <v>61</v>
      </c>
      <c r="Y9" s="4">
        <v>545</v>
      </c>
      <c r="Z9" s="12">
        <f>M9*O9</f>
        <v>1090</v>
      </c>
    </row>
    <row r="10" spans="1:26" x14ac:dyDescent="0.3">
      <c r="A10" t="s">
        <v>142</v>
      </c>
      <c r="B10" s="1">
        <v>45680</v>
      </c>
      <c r="C10" s="10" t="s">
        <v>60</v>
      </c>
      <c r="D10" t="s">
        <v>143</v>
      </c>
      <c r="E10" t="s">
        <v>135</v>
      </c>
      <c r="F10" t="s">
        <v>136</v>
      </c>
      <c r="G10" t="s">
        <v>144</v>
      </c>
      <c r="H10" t="s">
        <v>145</v>
      </c>
      <c r="I10" t="s">
        <v>30</v>
      </c>
      <c r="J10" t="s">
        <v>79</v>
      </c>
      <c r="K10">
        <v>40</v>
      </c>
      <c r="L10" t="s">
        <v>130</v>
      </c>
      <c r="M10" s="13">
        <v>3</v>
      </c>
      <c r="N10" s="4">
        <v>420</v>
      </c>
      <c r="O10" s="4">
        <v>280</v>
      </c>
      <c r="P10" s="4">
        <v>33</v>
      </c>
      <c r="Q10" s="4">
        <f>N10-O10</f>
        <v>140</v>
      </c>
      <c r="R10" t="s">
        <v>146</v>
      </c>
      <c r="S10" t="s">
        <v>49</v>
      </c>
      <c r="T10" t="s">
        <v>36</v>
      </c>
      <c r="U10" s="1">
        <v>45681</v>
      </c>
      <c r="W10" s="10" t="s">
        <v>61</v>
      </c>
      <c r="Y10" s="4">
        <v>280</v>
      </c>
      <c r="Z10" s="12">
        <f>M10*O10</f>
        <v>840</v>
      </c>
    </row>
    <row r="11" spans="1:26" x14ac:dyDescent="0.3">
      <c r="A11" t="s">
        <v>197</v>
      </c>
      <c r="B11" s="1">
        <v>45677</v>
      </c>
      <c r="C11" s="10" t="s">
        <v>60</v>
      </c>
      <c r="D11" t="s">
        <v>198</v>
      </c>
      <c r="E11" t="s">
        <v>26</v>
      </c>
      <c r="F11" t="s">
        <v>27</v>
      </c>
      <c r="G11" t="s">
        <v>199</v>
      </c>
      <c r="H11" t="s">
        <v>200</v>
      </c>
      <c r="I11" t="s">
        <v>54</v>
      </c>
      <c r="J11" t="s">
        <v>109</v>
      </c>
      <c r="K11">
        <v>44</v>
      </c>
      <c r="L11" t="s">
        <v>33</v>
      </c>
      <c r="M11" s="13">
        <v>1</v>
      </c>
      <c r="N11" s="4">
        <v>1252</v>
      </c>
      <c r="O11" s="4">
        <v>887</v>
      </c>
      <c r="P11" s="4">
        <v>29</v>
      </c>
      <c r="Q11" s="4">
        <f>N11-O11</f>
        <v>365</v>
      </c>
      <c r="R11" t="s">
        <v>201</v>
      </c>
      <c r="S11" t="s">
        <v>160</v>
      </c>
      <c r="T11" t="s">
        <v>36</v>
      </c>
      <c r="U11" s="1">
        <v>45678</v>
      </c>
      <c r="W11" s="10" t="s">
        <v>61</v>
      </c>
      <c r="Y11" s="4">
        <v>887</v>
      </c>
      <c r="Z11" s="12">
        <f>M11*O11</f>
        <v>887</v>
      </c>
    </row>
    <row r="12" spans="1:26" x14ac:dyDescent="0.3">
      <c r="A12" t="s">
        <v>238</v>
      </c>
      <c r="B12" s="1">
        <v>45661</v>
      </c>
      <c r="C12" s="11" t="s">
        <v>132</v>
      </c>
      <c r="D12" t="s">
        <v>239</v>
      </c>
      <c r="E12" t="s">
        <v>186</v>
      </c>
      <c r="F12" t="s">
        <v>187</v>
      </c>
      <c r="G12" t="s">
        <v>240</v>
      </c>
      <c r="H12" t="s">
        <v>241</v>
      </c>
      <c r="I12" t="s">
        <v>45</v>
      </c>
      <c r="J12" t="s">
        <v>46</v>
      </c>
      <c r="K12" t="s">
        <v>32</v>
      </c>
      <c r="L12" t="s">
        <v>152</v>
      </c>
      <c r="M12" s="13">
        <v>1</v>
      </c>
      <c r="N12" s="4">
        <v>847</v>
      </c>
      <c r="O12" s="4">
        <v>598</v>
      </c>
      <c r="P12" s="4">
        <v>29</v>
      </c>
      <c r="Q12" s="4">
        <f>N12-O12</f>
        <v>249</v>
      </c>
      <c r="R12" t="s">
        <v>242</v>
      </c>
      <c r="S12" t="s">
        <v>35</v>
      </c>
      <c r="T12" t="s">
        <v>59</v>
      </c>
      <c r="W12" s="9" t="s">
        <v>38</v>
      </c>
      <c r="Y12" s="4">
        <v>0</v>
      </c>
      <c r="Z12" s="12">
        <f>M12*O12</f>
        <v>598</v>
      </c>
    </row>
    <row r="13" spans="1:26" x14ac:dyDescent="0.3">
      <c r="A13" t="s">
        <v>243</v>
      </c>
      <c r="B13" s="1">
        <v>45680</v>
      </c>
      <c r="C13" s="8" t="s">
        <v>71</v>
      </c>
      <c r="D13" t="s">
        <v>244</v>
      </c>
      <c r="E13" t="s">
        <v>41</v>
      </c>
      <c r="F13" t="s">
        <v>42</v>
      </c>
      <c r="G13" t="s">
        <v>245</v>
      </c>
      <c r="H13" t="s">
        <v>246</v>
      </c>
      <c r="I13" t="s">
        <v>54</v>
      </c>
      <c r="J13" t="s">
        <v>195</v>
      </c>
      <c r="K13">
        <v>42</v>
      </c>
      <c r="L13" t="s">
        <v>80</v>
      </c>
      <c r="M13" s="13">
        <v>1</v>
      </c>
      <c r="N13" s="4">
        <v>626</v>
      </c>
      <c r="O13" s="4">
        <v>444</v>
      </c>
      <c r="P13" s="4">
        <v>29</v>
      </c>
      <c r="Q13" s="4">
        <f>N13-O13</f>
        <v>182</v>
      </c>
      <c r="R13" t="s">
        <v>247</v>
      </c>
      <c r="S13" t="s">
        <v>49</v>
      </c>
      <c r="T13" t="s">
        <v>59</v>
      </c>
      <c r="U13" s="1">
        <v>45681</v>
      </c>
      <c r="W13" s="9" t="s">
        <v>38</v>
      </c>
      <c r="Y13" s="4">
        <v>0</v>
      </c>
      <c r="Z13" s="12">
        <f>M13*O13</f>
        <v>444</v>
      </c>
    </row>
    <row r="14" spans="1:26" x14ac:dyDescent="0.3">
      <c r="A14" t="s">
        <v>289</v>
      </c>
      <c r="B14" s="1">
        <v>45695</v>
      </c>
      <c r="C14" s="11" t="s">
        <v>132</v>
      </c>
      <c r="D14" t="s">
        <v>290</v>
      </c>
      <c r="E14" t="s">
        <v>41</v>
      </c>
      <c r="F14" t="s">
        <v>42</v>
      </c>
      <c r="G14" t="s">
        <v>291</v>
      </c>
      <c r="H14" t="s">
        <v>292</v>
      </c>
      <c r="I14" t="s">
        <v>45</v>
      </c>
      <c r="J14" t="s">
        <v>46</v>
      </c>
      <c r="K14" t="s">
        <v>32</v>
      </c>
      <c r="L14" t="s">
        <v>158</v>
      </c>
      <c r="M14" s="4">
        <v>3</v>
      </c>
      <c r="N14" s="4">
        <v>1136</v>
      </c>
      <c r="O14" s="4">
        <v>819</v>
      </c>
      <c r="P14" s="4">
        <v>28</v>
      </c>
      <c r="Q14" s="4">
        <f>N14-O14</f>
        <v>317</v>
      </c>
      <c r="R14" t="s">
        <v>293</v>
      </c>
      <c r="S14" t="s">
        <v>160</v>
      </c>
      <c r="T14" t="s">
        <v>36</v>
      </c>
      <c r="W14" s="9" t="s">
        <v>38</v>
      </c>
      <c r="Y14" s="4">
        <v>0</v>
      </c>
      <c r="Z14" s="12">
        <f>M14*O14</f>
        <v>2457</v>
      </c>
    </row>
    <row r="15" spans="1:26" x14ac:dyDescent="0.3">
      <c r="A15" t="s">
        <v>179</v>
      </c>
      <c r="B15" s="1">
        <v>45687</v>
      </c>
      <c r="C15" s="10" t="s">
        <v>60</v>
      </c>
      <c r="D15" t="s">
        <v>180</v>
      </c>
      <c r="E15" t="s">
        <v>135</v>
      </c>
      <c r="F15" t="s">
        <v>136</v>
      </c>
      <c r="G15" t="s">
        <v>181</v>
      </c>
      <c r="H15" t="s">
        <v>182</v>
      </c>
      <c r="I15" t="s">
        <v>54</v>
      </c>
      <c r="J15" t="s">
        <v>109</v>
      </c>
      <c r="K15" t="s">
        <v>32</v>
      </c>
      <c r="L15" t="s">
        <v>152</v>
      </c>
      <c r="M15" s="13">
        <v>1</v>
      </c>
      <c r="N15" s="4">
        <v>1372</v>
      </c>
      <c r="O15" s="4">
        <v>993</v>
      </c>
      <c r="P15" s="4">
        <v>28</v>
      </c>
      <c r="Q15" s="4">
        <f>N15-O15</f>
        <v>379</v>
      </c>
      <c r="R15" t="s">
        <v>183</v>
      </c>
      <c r="S15" t="s">
        <v>70</v>
      </c>
      <c r="T15" t="s">
        <v>36</v>
      </c>
      <c r="U15" s="1">
        <v>45688</v>
      </c>
      <c r="W15" s="10" t="s">
        <v>61</v>
      </c>
      <c r="Y15" s="4">
        <v>993</v>
      </c>
      <c r="Z15" s="12">
        <f>M15*O15</f>
        <v>993</v>
      </c>
    </row>
    <row r="16" spans="1:26" x14ac:dyDescent="0.3">
      <c r="A16" t="s">
        <v>133</v>
      </c>
      <c r="B16" s="1">
        <v>45672</v>
      </c>
      <c r="C16" s="8" t="s">
        <v>71</v>
      </c>
      <c r="D16" t="s">
        <v>134</v>
      </c>
      <c r="E16" t="s">
        <v>135</v>
      </c>
      <c r="F16" t="s">
        <v>136</v>
      </c>
      <c r="G16" t="s">
        <v>137</v>
      </c>
      <c r="H16" t="s">
        <v>138</v>
      </c>
      <c r="I16" t="s">
        <v>139</v>
      </c>
      <c r="J16" t="s">
        <v>140</v>
      </c>
      <c r="K16">
        <v>9</v>
      </c>
      <c r="L16" t="s">
        <v>57</v>
      </c>
      <c r="M16" s="13">
        <v>3</v>
      </c>
      <c r="N16" s="4">
        <v>1222</v>
      </c>
      <c r="O16" s="4">
        <v>917</v>
      </c>
      <c r="P16" s="4">
        <v>25</v>
      </c>
      <c r="Q16" s="4">
        <f>N16-O16</f>
        <v>305</v>
      </c>
      <c r="R16" t="s">
        <v>141</v>
      </c>
      <c r="S16" t="s">
        <v>89</v>
      </c>
      <c r="T16" t="s">
        <v>59</v>
      </c>
      <c r="U16" s="1">
        <v>45673</v>
      </c>
      <c r="W16" s="9" t="s">
        <v>38</v>
      </c>
      <c r="Y16" s="4">
        <v>0</v>
      </c>
      <c r="Z16" s="12">
        <f>M16*O16</f>
        <v>2751</v>
      </c>
    </row>
    <row r="17" spans="1:26" x14ac:dyDescent="0.3">
      <c r="A17" t="s">
        <v>222</v>
      </c>
      <c r="B17" s="1">
        <v>45673</v>
      </c>
      <c r="C17" s="8" t="s">
        <v>71</v>
      </c>
      <c r="D17" t="s">
        <v>223</v>
      </c>
      <c r="E17" t="s">
        <v>74</v>
      </c>
      <c r="F17" t="s">
        <v>75</v>
      </c>
      <c r="G17" t="s">
        <v>224</v>
      </c>
      <c r="H17" t="s">
        <v>225</v>
      </c>
      <c r="I17" t="s">
        <v>45</v>
      </c>
      <c r="J17" t="s">
        <v>46</v>
      </c>
      <c r="K17">
        <v>44</v>
      </c>
      <c r="L17" t="s">
        <v>130</v>
      </c>
      <c r="M17" s="13">
        <v>2</v>
      </c>
      <c r="N17" s="4">
        <v>1429</v>
      </c>
      <c r="O17" s="4">
        <v>1065</v>
      </c>
      <c r="P17" s="4">
        <v>25</v>
      </c>
      <c r="Q17" s="4">
        <f>N17-O17</f>
        <v>364</v>
      </c>
      <c r="R17" t="s">
        <v>226</v>
      </c>
      <c r="S17" t="s">
        <v>96</v>
      </c>
      <c r="T17" t="s">
        <v>36</v>
      </c>
      <c r="U17" s="1">
        <v>45674</v>
      </c>
      <c r="W17" s="9" t="s">
        <v>38</v>
      </c>
      <c r="Y17" s="4">
        <v>0</v>
      </c>
      <c r="Z17" s="12">
        <f>M17*O17</f>
        <v>2130</v>
      </c>
    </row>
    <row r="18" spans="1:26" x14ac:dyDescent="0.3">
      <c r="A18" t="s">
        <v>264</v>
      </c>
      <c r="B18" s="1">
        <v>45673</v>
      </c>
      <c r="C18" s="10" t="s">
        <v>60</v>
      </c>
      <c r="D18" t="s">
        <v>265</v>
      </c>
      <c r="E18" t="s">
        <v>41</v>
      </c>
      <c r="F18" t="s">
        <v>42</v>
      </c>
      <c r="G18" t="s">
        <v>266</v>
      </c>
      <c r="H18" t="s">
        <v>267</v>
      </c>
      <c r="I18" t="s">
        <v>54</v>
      </c>
      <c r="J18" t="s">
        <v>109</v>
      </c>
      <c r="K18" t="s">
        <v>56</v>
      </c>
      <c r="L18" t="s">
        <v>47</v>
      </c>
      <c r="M18" s="4">
        <v>2</v>
      </c>
      <c r="N18" s="4">
        <v>629</v>
      </c>
      <c r="O18" s="4">
        <v>478</v>
      </c>
      <c r="P18" s="4">
        <v>24</v>
      </c>
      <c r="Q18" s="4">
        <f>N18-O18</f>
        <v>151</v>
      </c>
      <c r="R18" t="s">
        <v>268</v>
      </c>
      <c r="S18" t="s">
        <v>258</v>
      </c>
      <c r="T18" t="s">
        <v>59</v>
      </c>
      <c r="U18" s="1">
        <v>45674</v>
      </c>
      <c r="W18" s="10" t="s">
        <v>61</v>
      </c>
      <c r="Y18" s="4">
        <v>478</v>
      </c>
      <c r="Z18" s="12">
        <f>M18*O18</f>
        <v>956</v>
      </c>
    </row>
    <row r="19" spans="1:26" x14ac:dyDescent="0.3">
      <c r="A19" t="s">
        <v>103</v>
      </c>
      <c r="B19" s="1">
        <v>45673</v>
      </c>
      <c r="C19" s="10" t="s">
        <v>60</v>
      </c>
      <c r="D19" t="s">
        <v>104</v>
      </c>
      <c r="E19" t="s">
        <v>105</v>
      </c>
      <c r="F19" t="s">
        <v>106</v>
      </c>
      <c r="G19" t="s">
        <v>107</v>
      </c>
      <c r="H19" t="s">
        <v>108</v>
      </c>
      <c r="I19" t="s">
        <v>54</v>
      </c>
      <c r="J19" t="s">
        <v>109</v>
      </c>
      <c r="K19" t="s">
        <v>32</v>
      </c>
      <c r="L19" t="s">
        <v>87</v>
      </c>
      <c r="M19" s="13">
        <v>2</v>
      </c>
      <c r="N19" s="4">
        <v>436</v>
      </c>
      <c r="O19" s="4">
        <v>330</v>
      </c>
      <c r="P19" s="4">
        <v>24</v>
      </c>
      <c r="Q19" s="4">
        <f>N19-O19</f>
        <v>106</v>
      </c>
      <c r="R19" t="s">
        <v>110</v>
      </c>
      <c r="S19" t="s">
        <v>35</v>
      </c>
      <c r="T19" t="s">
        <v>59</v>
      </c>
      <c r="U19" s="1">
        <v>45674</v>
      </c>
      <c r="W19" s="10" t="s">
        <v>61</v>
      </c>
      <c r="Y19" s="4">
        <v>330</v>
      </c>
      <c r="Z19" s="12">
        <f>M19*O19</f>
        <v>660</v>
      </c>
    </row>
    <row r="20" spans="1:26" x14ac:dyDescent="0.3">
      <c r="A20" t="s">
        <v>217</v>
      </c>
      <c r="B20" s="1">
        <v>45660</v>
      </c>
      <c r="C20" s="8" t="s">
        <v>71</v>
      </c>
      <c r="D20" t="s">
        <v>218</v>
      </c>
      <c r="E20" t="s">
        <v>119</v>
      </c>
      <c r="F20" t="s">
        <v>120</v>
      </c>
      <c r="G20" t="s">
        <v>219</v>
      </c>
      <c r="H20" t="s">
        <v>220</v>
      </c>
      <c r="I20" t="s">
        <v>30</v>
      </c>
      <c r="J20" t="s">
        <v>79</v>
      </c>
      <c r="K20">
        <v>38</v>
      </c>
      <c r="L20" t="s">
        <v>80</v>
      </c>
      <c r="M20" s="13">
        <v>2</v>
      </c>
      <c r="N20" s="4">
        <v>1611</v>
      </c>
      <c r="O20" s="4">
        <v>1241</v>
      </c>
      <c r="P20" s="4">
        <v>23</v>
      </c>
      <c r="Q20" s="4">
        <f>N20-O20</f>
        <v>370</v>
      </c>
      <c r="R20" t="s">
        <v>221</v>
      </c>
      <c r="S20" t="s">
        <v>70</v>
      </c>
      <c r="T20" t="s">
        <v>36</v>
      </c>
      <c r="U20" s="1">
        <v>45661</v>
      </c>
      <c r="W20" s="9" t="s">
        <v>38</v>
      </c>
      <c r="Y20" s="4">
        <v>0</v>
      </c>
      <c r="Z20" s="12">
        <f>M20*O20</f>
        <v>2482</v>
      </c>
    </row>
    <row r="21" spans="1:26" x14ac:dyDescent="0.3">
      <c r="A21" t="s">
        <v>233</v>
      </c>
      <c r="B21" s="1">
        <v>45669</v>
      </c>
      <c r="C21" s="8" t="s">
        <v>71</v>
      </c>
      <c r="D21" t="s">
        <v>234</v>
      </c>
      <c r="E21" t="s">
        <v>64</v>
      </c>
      <c r="F21" t="s">
        <v>65</v>
      </c>
      <c r="G21" t="s">
        <v>235</v>
      </c>
      <c r="H21" t="s">
        <v>236</v>
      </c>
      <c r="I21" t="s">
        <v>30</v>
      </c>
      <c r="J21" t="s">
        <v>79</v>
      </c>
      <c r="K21" t="s">
        <v>32</v>
      </c>
      <c r="L21" t="s">
        <v>130</v>
      </c>
      <c r="M21" s="13">
        <v>3</v>
      </c>
      <c r="N21" s="4">
        <v>1049</v>
      </c>
      <c r="O21" s="4">
        <v>803</v>
      </c>
      <c r="P21" s="4">
        <v>23</v>
      </c>
      <c r="Q21" s="4">
        <f>N21-O21</f>
        <v>246</v>
      </c>
      <c r="R21" t="s">
        <v>237</v>
      </c>
      <c r="S21" t="s">
        <v>35</v>
      </c>
      <c r="T21" t="s">
        <v>36</v>
      </c>
      <c r="U21" s="1">
        <v>45670</v>
      </c>
      <c r="W21" s="9" t="s">
        <v>38</v>
      </c>
      <c r="Y21" s="4">
        <v>0</v>
      </c>
      <c r="Z21" s="12">
        <f>M21*O21</f>
        <v>2409</v>
      </c>
    </row>
    <row r="22" spans="1:26" x14ac:dyDescent="0.3">
      <c r="A22" t="s">
        <v>300</v>
      </c>
      <c r="B22" s="1">
        <v>45681</v>
      </c>
      <c r="C22" s="8" t="s">
        <v>71</v>
      </c>
      <c r="D22" t="s">
        <v>301</v>
      </c>
      <c r="E22" t="s">
        <v>175</v>
      </c>
      <c r="F22" t="s">
        <v>175</v>
      </c>
      <c r="G22" t="s">
        <v>302</v>
      </c>
      <c r="H22" t="s">
        <v>303</v>
      </c>
      <c r="I22" t="s">
        <v>30</v>
      </c>
      <c r="J22" t="s">
        <v>101</v>
      </c>
      <c r="K22" t="s">
        <v>151</v>
      </c>
      <c r="L22" t="s">
        <v>152</v>
      </c>
      <c r="M22" s="4">
        <v>3</v>
      </c>
      <c r="N22" s="4">
        <v>1164</v>
      </c>
      <c r="O22" s="4">
        <v>911</v>
      </c>
      <c r="P22" s="4">
        <v>22</v>
      </c>
      <c r="Q22" s="4">
        <f>N22-O22</f>
        <v>253</v>
      </c>
      <c r="R22" t="s">
        <v>304</v>
      </c>
      <c r="S22" t="s">
        <v>89</v>
      </c>
      <c r="T22" t="s">
        <v>36</v>
      </c>
      <c r="U22" s="1">
        <v>45682</v>
      </c>
      <c r="W22" s="9" t="s">
        <v>38</v>
      </c>
      <c r="Y22" s="4">
        <v>0</v>
      </c>
      <c r="Z22" s="12">
        <f>M22*O22</f>
        <v>2733</v>
      </c>
    </row>
    <row r="23" spans="1:26" x14ac:dyDescent="0.3">
      <c r="A23" t="s">
        <v>147</v>
      </c>
      <c r="B23" s="1">
        <v>45676</v>
      </c>
      <c r="C23" s="10" t="s">
        <v>60</v>
      </c>
      <c r="D23" t="s">
        <v>148</v>
      </c>
      <c r="E23" t="s">
        <v>74</v>
      </c>
      <c r="F23" t="s">
        <v>75</v>
      </c>
      <c r="G23" t="s">
        <v>149</v>
      </c>
      <c r="H23" t="s">
        <v>150</v>
      </c>
      <c r="I23" t="s">
        <v>139</v>
      </c>
      <c r="J23" t="s">
        <v>140</v>
      </c>
      <c r="K23" t="s">
        <v>151</v>
      </c>
      <c r="L23" t="s">
        <v>152</v>
      </c>
      <c r="M23" s="13">
        <v>3</v>
      </c>
      <c r="N23" s="4">
        <v>850</v>
      </c>
      <c r="O23" s="4">
        <v>667</v>
      </c>
      <c r="P23" s="4">
        <v>22</v>
      </c>
      <c r="Q23" s="4">
        <f>N23-O23</f>
        <v>183</v>
      </c>
      <c r="R23" t="s">
        <v>153</v>
      </c>
      <c r="S23" t="s">
        <v>82</v>
      </c>
      <c r="T23" t="s">
        <v>36</v>
      </c>
      <c r="U23" s="1">
        <v>45677</v>
      </c>
      <c r="W23" s="10" t="s">
        <v>61</v>
      </c>
      <c r="Y23" s="4">
        <v>667</v>
      </c>
      <c r="Z23" s="12">
        <f>M23*O23</f>
        <v>2001</v>
      </c>
    </row>
    <row r="24" spans="1:26" x14ac:dyDescent="0.3">
      <c r="A24" t="s">
        <v>253</v>
      </c>
      <c r="B24" s="1">
        <v>45692</v>
      </c>
      <c r="C24" s="8" t="s">
        <v>71</v>
      </c>
      <c r="D24" t="s">
        <v>254</v>
      </c>
      <c r="E24" t="s">
        <v>41</v>
      </c>
      <c r="F24" t="s">
        <v>42</v>
      </c>
      <c r="G24" t="s">
        <v>255</v>
      </c>
      <c r="H24" t="s">
        <v>256</v>
      </c>
      <c r="I24" t="s">
        <v>54</v>
      </c>
      <c r="J24" t="s">
        <v>55</v>
      </c>
      <c r="K24">
        <v>9</v>
      </c>
      <c r="L24" t="s">
        <v>80</v>
      </c>
      <c r="M24" s="4">
        <v>3</v>
      </c>
      <c r="N24" s="4">
        <v>1396</v>
      </c>
      <c r="O24" s="4">
        <v>1116</v>
      </c>
      <c r="P24" s="4">
        <v>20</v>
      </c>
      <c r="Q24" s="4">
        <f>N24-O24</f>
        <v>280</v>
      </c>
      <c r="R24" t="s">
        <v>257</v>
      </c>
      <c r="S24" t="s">
        <v>258</v>
      </c>
      <c r="T24" t="s">
        <v>59</v>
      </c>
      <c r="U24" s="1">
        <v>45693</v>
      </c>
      <c r="W24" s="9" t="s">
        <v>38</v>
      </c>
      <c r="Y24" s="4">
        <v>0</v>
      </c>
      <c r="Z24" s="12">
        <f>M24*O24</f>
        <v>3348</v>
      </c>
    </row>
    <row r="25" spans="1:26" x14ac:dyDescent="0.3">
      <c r="A25" t="s">
        <v>72</v>
      </c>
      <c r="B25" s="1">
        <v>45666</v>
      </c>
      <c r="C25" s="10" t="s">
        <v>60</v>
      </c>
      <c r="D25" t="s">
        <v>73</v>
      </c>
      <c r="E25" t="s">
        <v>74</v>
      </c>
      <c r="F25" t="s">
        <v>75</v>
      </c>
      <c r="G25" t="s">
        <v>76</v>
      </c>
      <c r="H25" t="s">
        <v>77</v>
      </c>
      <c r="I25" t="s">
        <v>78</v>
      </c>
      <c r="J25" t="s">
        <v>79</v>
      </c>
      <c r="K25">
        <v>40</v>
      </c>
      <c r="L25" t="s">
        <v>80</v>
      </c>
      <c r="M25" s="13">
        <v>2</v>
      </c>
      <c r="N25" s="4">
        <v>1316</v>
      </c>
      <c r="O25" s="4">
        <v>1050</v>
      </c>
      <c r="P25" s="4">
        <v>20</v>
      </c>
      <c r="Q25" s="4">
        <f>N25-O25</f>
        <v>266</v>
      </c>
      <c r="R25" t="s">
        <v>81</v>
      </c>
      <c r="S25" t="s">
        <v>82</v>
      </c>
      <c r="T25" t="s">
        <v>59</v>
      </c>
      <c r="U25" s="1">
        <v>45667</v>
      </c>
      <c r="W25" s="10" t="s">
        <v>61</v>
      </c>
      <c r="Y25" s="4">
        <v>1050</v>
      </c>
      <c r="Z25" s="12">
        <f>M25*O25</f>
        <v>2100</v>
      </c>
    </row>
    <row r="26" spans="1:26" x14ac:dyDescent="0.3">
      <c r="A26" t="s">
        <v>294</v>
      </c>
      <c r="B26" s="1">
        <v>45665</v>
      </c>
      <c r="C26" s="9" t="s">
        <v>37</v>
      </c>
      <c r="D26" t="s">
        <v>295</v>
      </c>
      <c r="E26" t="s">
        <v>296</v>
      </c>
      <c r="F26" t="s">
        <v>27</v>
      </c>
      <c r="G26" t="s">
        <v>297</v>
      </c>
      <c r="H26" t="s">
        <v>298</v>
      </c>
      <c r="I26" t="s">
        <v>54</v>
      </c>
      <c r="J26" t="s">
        <v>55</v>
      </c>
      <c r="K26">
        <v>9</v>
      </c>
      <c r="L26" t="s">
        <v>130</v>
      </c>
      <c r="M26" s="4">
        <v>2</v>
      </c>
      <c r="N26" s="4">
        <v>1273</v>
      </c>
      <c r="O26" s="4">
        <v>1013</v>
      </c>
      <c r="P26" s="4">
        <v>20</v>
      </c>
      <c r="Q26" s="4">
        <f>N26-O26</f>
        <v>260</v>
      </c>
      <c r="R26" t="s">
        <v>299</v>
      </c>
      <c r="S26" t="s">
        <v>232</v>
      </c>
      <c r="T26" t="s">
        <v>59</v>
      </c>
      <c r="U26" s="1">
        <v>45666</v>
      </c>
      <c r="V26" s="1">
        <v>45671</v>
      </c>
      <c r="W26" s="9" t="s">
        <v>38</v>
      </c>
      <c r="Y26" s="4">
        <v>0</v>
      </c>
      <c r="Z26" s="12">
        <f>M26*O26</f>
        <v>2026</v>
      </c>
    </row>
    <row r="27" spans="1:26" x14ac:dyDescent="0.3">
      <c r="A27" t="s">
        <v>334</v>
      </c>
      <c r="B27" s="1">
        <v>45687</v>
      </c>
      <c r="C27" s="8" t="s">
        <v>71</v>
      </c>
      <c r="D27" t="s">
        <v>335</v>
      </c>
      <c r="E27" t="s">
        <v>105</v>
      </c>
      <c r="F27" t="s">
        <v>106</v>
      </c>
      <c r="G27" t="s">
        <v>336</v>
      </c>
      <c r="H27" t="s">
        <v>220</v>
      </c>
      <c r="I27" t="s">
        <v>30</v>
      </c>
      <c r="J27" t="s">
        <v>79</v>
      </c>
      <c r="K27">
        <v>38</v>
      </c>
      <c r="L27" t="s">
        <v>80</v>
      </c>
      <c r="M27" s="4">
        <v>2</v>
      </c>
      <c r="N27" s="4">
        <v>1206</v>
      </c>
      <c r="O27" s="4">
        <v>967</v>
      </c>
      <c r="P27" s="4">
        <v>20</v>
      </c>
      <c r="Q27" s="4">
        <f>N27-O27</f>
        <v>239</v>
      </c>
      <c r="R27" t="s">
        <v>337</v>
      </c>
      <c r="S27" t="s">
        <v>89</v>
      </c>
      <c r="T27" t="s">
        <v>36</v>
      </c>
      <c r="U27" s="1">
        <v>45688</v>
      </c>
      <c r="W27" s="9" t="s">
        <v>38</v>
      </c>
      <c r="Y27" s="4">
        <v>0</v>
      </c>
      <c r="Z27" s="12">
        <f>M27*O27</f>
        <v>1934</v>
      </c>
    </row>
    <row r="28" spans="1:26" x14ac:dyDescent="0.3">
      <c r="A28" t="s">
        <v>227</v>
      </c>
      <c r="B28" s="1">
        <v>45658</v>
      </c>
      <c r="C28" s="10" t="s">
        <v>60</v>
      </c>
      <c r="D28" t="s">
        <v>228</v>
      </c>
      <c r="E28" t="s">
        <v>105</v>
      </c>
      <c r="F28" t="s">
        <v>106</v>
      </c>
      <c r="G28" t="s">
        <v>229</v>
      </c>
      <c r="H28" t="s">
        <v>230</v>
      </c>
      <c r="I28" t="s">
        <v>54</v>
      </c>
      <c r="J28" t="s">
        <v>109</v>
      </c>
      <c r="K28">
        <v>40</v>
      </c>
      <c r="L28" t="s">
        <v>87</v>
      </c>
      <c r="M28" s="13">
        <v>2</v>
      </c>
      <c r="N28" s="4">
        <v>1828</v>
      </c>
      <c r="O28" s="4">
        <v>1495</v>
      </c>
      <c r="P28" s="4">
        <v>18</v>
      </c>
      <c r="Q28" s="4">
        <f>N28-O28</f>
        <v>333</v>
      </c>
      <c r="R28" t="s">
        <v>231</v>
      </c>
      <c r="S28" t="s">
        <v>232</v>
      </c>
      <c r="T28" t="s">
        <v>36</v>
      </c>
      <c r="U28" s="1">
        <v>45659</v>
      </c>
      <c r="W28" s="10" t="s">
        <v>61</v>
      </c>
      <c r="Y28" s="4">
        <v>1495</v>
      </c>
      <c r="Z28" s="12">
        <f>M28*O28</f>
        <v>2990</v>
      </c>
    </row>
    <row r="29" spans="1:26" x14ac:dyDescent="0.3">
      <c r="A29" t="s">
        <v>62</v>
      </c>
      <c r="B29" s="1">
        <v>45674</v>
      </c>
      <c r="C29" s="8" t="s">
        <v>71</v>
      </c>
      <c r="D29" t="s">
        <v>63</v>
      </c>
      <c r="E29" t="s">
        <v>64</v>
      </c>
      <c r="F29" t="s">
        <v>65</v>
      </c>
      <c r="G29" t="s">
        <v>66</v>
      </c>
      <c r="H29" t="s">
        <v>67</v>
      </c>
      <c r="I29" t="s">
        <v>54</v>
      </c>
      <c r="J29" t="s">
        <v>68</v>
      </c>
      <c r="K29">
        <v>44</v>
      </c>
      <c r="L29" t="s">
        <v>57</v>
      </c>
      <c r="M29" s="13">
        <v>3</v>
      </c>
      <c r="N29" s="4">
        <v>1144</v>
      </c>
      <c r="O29" s="4">
        <v>941</v>
      </c>
      <c r="P29" s="4">
        <v>18</v>
      </c>
      <c r="Q29" s="4">
        <f>N29-O29</f>
        <v>203</v>
      </c>
      <c r="R29" t="s">
        <v>69</v>
      </c>
      <c r="S29" t="s">
        <v>70</v>
      </c>
      <c r="T29" t="s">
        <v>59</v>
      </c>
      <c r="U29" s="1">
        <v>45675</v>
      </c>
      <c r="W29" s="9" t="s">
        <v>38</v>
      </c>
      <c r="Y29" s="4">
        <v>0</v>
      </c>
      <c r="Z29" s="12">
        <f>M29*O29</f>
        <v>2823</v>
      </c>
    </row>
    <row r="30" spans="1:26" x14ac:dyDescent="0.3">
      <c r="A30" t="s">
        <v>184</v>
      </c>
      <c r="B30" s="1">
        <v>45697</v>
      </c>
      <c r="C30" s="9" t="s">
        <v>37</v>
      </c>
      <c r="D30" t="s">
        <v>185</v>
      </c>
      <c r="E30" t="s">
        <v>186</v>
      </c>
      <c r="F30" t="s">
        <v>187</v>
      </c>
      <c r="G30" t="s">
        <v>188</v>
      </c>
      <c r="H30" t="s">
        <v>189</v>
      </c>
      <c r="I30" t="s">
        <v>30</v>
      </c>
      <c r="J30" t="s">
        <v>31</v>
      </c>
      <c r="K30" t="s">
        <v>56</v>
      </c>
      <c r="L30" t="s">
        <v>57</v>
      </c>
      <c r="M30" s="13">
        <v>3</v>
      </c>
      <c r="N30" s="4">
        <v>897</v>
      </c>
      <c r="O30" s="4">
        <v>746</v>
      </c>
      <c r="P30" s="4">
        <v>17</v>
      </c>
      <c r="Q30" s="4">
        <f>N30-O30</f>
        <v>151</v>
      </c>
      <c r="R30" t="s">
        <v>190</v>
      </c>
      <c r="S30" t="s">
        <v>49</v>
      </c>
      <c r="T30" t="s">
        <v>36</v>
      </c>
      <c r="U30" s="1">
        <v>45698</v>
      </c>
      <c r="V30" s="1">
        <v>45703</v>
      </c>
      <c r="W30" s="9" t="s">
        <v>38</v>
      </c>
      <c r="Y30" s="4">
        <v>0</v>
      </c>
      <c r="Z30" s="12">
        <f>M30*O30</f>
        <v>2238</v>
      </c>
    </row>
    <row r="31" spans="1:26" x14ac:dyDescent="0.3">
      <c r="A31" t="s">
        <v>125</v>
      </c>
      <c r="B31" s="1">
        <v>45693</v>
      </c>
      <c r="C31" s="11" t="s">
        <v>132</v>
      </c>
      <c r="D31" t="s">
        <v>126</v>
      </c>
      <c r="E31" t="s">
        <v>41</v>
      </c>
      <c r="F31" t="s">
        <v>42</v>
      </c>
      <c r="G31" t="s">
        <v>127</v>
      </c>
      <c r="H31" t="s">
        <v>128</v>
      </c>
      <c r="I31" t="s">
        <v>54</v>
      </c>
      <c r="J31" t="s">
        <v>109</v>
      </c>
      <c r="K31" t="s">
        <v>129</v>
      </c>
      <c r="L31" t="s">
        <v>130</v>
      </c>
      <c r="M31" s="13">
        <v>3</v>
      </c>
      <c r="N31" s="4">
        <v>1480</v>
      </c>
      <c r="O31" s="4">
        <v>1244</v>
      </c>
      <c r="P31" s="4">
        <v>16</v>
      </c>
      <c r="Q31" s="4">
        <f>N31-O31</f>
        <v>236</v>
      </c>
      <c r="R31" t="s">
        <v>131</v>
      </c>
      <c r="S31" t="s">
        <v>89</v>
      </c>
      <c r="T31" t="s">
        <v>36</v>
      </c>
      <c r="W31" s="9" t="s">
        <v>38</v>
      </c>
      <c r="Y31" s="4">
        <v>0</v>
      </c>
      <c r="Z31" s="12">
        <f>M31*O31</f>
        <v>3732</v>
      </c>
    </row>
    <row r="32" spans="1:26" x14ac:dyDescent="0.3">
      <c r="A32" t="s">
        <v>83</v>
      </c>
      <c r="B32" s="1">
        <v>45678</v>
      </c>
      <c r="C32" s="8" t="s">
        <v>71</v>
      </c>
      <c r="D32" t="s">
        <v>84</v>
      </c>
      <c r="E32" t="s">
        <v>64</v>
      </c>
      <c r="F32" t="s">
        <v>65</v>
      </c>
      <c r="G32" t="s">
        <v>85</v>
      </c>
      <c r="H32" t="s">
        <v>86</v>
      </c>
      <c r="I32" t="s">
        <v>30</v>
      </c>
      <c r="J32" t="s">
        <v>79</v>
      </c>
      <c r="K32">
        <v>40</v>
      </c>
      <c r="L32" t="s">
        <v>87</v>
      </c>
      <c r="M32" s="13">
        <v>3</v>
      </c>
      <c r="N32" s="4">
        <v>1405</v>
      </c>
      <c r="O32" s="4">
        <v>1177</v>
      </c>
      <c r="P32" s="4">
        <v>16</v>
      </c>
      <c r="Q32" s="4">
        <f>N32-O32</f>
        <v>228</v>
      </c>
      <c r="R32" t="s">
        <v>88</v>
      </c>
      <c r="S32" t="s">
        <v>89</v>
      </c>
      <c r="T32" t="s">
        <v>36</v>
      </c>
      <c r="U32" s="1">
        <v>45679</v>
      </c>
      <c r="W32" s="9" t="s">
        <v>38</v>
      </c>
      <c r="Y32" s="4">
        <v>0</v>
      </c>
      <c r="Z32" s="12">
        <f>M32*O32</f>
        <v>3531</v>
      </c>
    </row>
    <row r="33" spans="1:26" x14ac:dyDescent="0.3">
      <c r="A33" t="s">
        <v>173</v>
      </c>
      <c r="B33" s="1">
        <v>45687</v>
      </c>
      <c r="C33" s="9" t="s">
        <v>37</v>
      </c>
      <c r="D33" t="s">
        <v>174</v>
      </c>
      <c r="E33" t="s">
        <v>175</v>
      </c>
      <c r="F33" t="s">
        <v>175</v>
      </c>
      <c r="G33" t="s">
        <v>176</v>
      </c>
      <c r="H33" t="s">
        <v>177</v>
      </c>
      <c r="I33" t="s">
        <v>30</v>
      </c>
      <c r="J33" t="s">
        <v>79</v>
      </c>
      <c r="K33">
        <v>44</v>
      </c>
      <c r="L33" t="s">
        <v>47</v>
      </c>
      <c r="M33" s="13">
        <v>3</v>
      </c>
      <c r="N33" s="4">
        <v>1672</v>
      </c>
      <c r="O33" s="4">
        <v>1424</v>
      </c>
      <c r="P33" s="4">
        <v>15</v>
      </c>
      <c r="Q33" s="4">
        <f>N33-O33</f>
        <v>248</v>
      </c>
      <c r="R33" t="s">
        <v>178</v>
      </c>
      <c r="S33" t="s">
        <v>35</v>
      </c>
      <c r="T33" t="s">
        <v>59</v>
      </c>
      <c r="U33" s="1">
        <v>45688</v>
      </c>
      <c r="V33" s="1">
        <v>45692</v>
      </c>
      <c r="W33" s="9" t="s">
        <v>38</v>
      </c>
      <c r="Y33" s="4">
        <v>0</v>
      </c>
      <c r="Z33" s="12">
        <f>M33*O33</f>
        <v>4272</v>
      </c>
    </row>
    <row r="34" spans="1:26" x14ac:dyDescent="0.3">
      <c r="A34" t="s">
        <v>39</v>
      </c>
      <c r="B34" s="1">
        <v>45694</v>
      </c>
      <c r="C34" s="9" t="s">
        <v>37</v>
      </c>
      <c r="D34" t="s">
        <v>40</v>
      </c>
      <c r="E34" t="s">
        <v>41</v>
      </c>
      <c r="F34" t="s">
        <v>42</v>
      </c>
      <c r="G34" t="s">
        <v>43</v>
      </c>
      <c r="H34" t="s">
        <v>44</v>
      </c>
      <c r="I34" t="s">
        <v>45</v>
      </c>
      <c r="J34" t="s">
        <v>46</v>
      </c>
      <c r="K34">
        <v>38</v>
      </c>
      <c r="L34" t="s">
        <v>47</v>
      </c>
      <c r="M34" s="12">
        <v>3</v>
      </c>
      <c r="N34" s="4">
        <v>1015</v>
      </c>
      <c r="O34" s="4">
        <v>868</v>
      </c>
      <c r="P34" s="4">
        <v>14</v>
      </c>
      <c r="Q34" s="4">
        <f>N34-O34</f>
        <v>147</v>
      </c>
      <c r="R34" t="s">
        <v>48</v>
      </c>
      <c r="S34" t="s">
        <v>49</v>
      </c>
      <c r="T34" t="s">
        <v>36</v>
      </c>
      <c r="U34" s="1">
        <v>45695</v>
      </c>
      <c r="V34" s="1">
        <v>45697</v>
      </c>
      <c r="W34" s="9" t="s">
        <v>38</v>
      </c>
      <c r="Y34" s="4">
        <v>0</v>
      </c>
      <c r="Z34" s="12">
        <f>M34*O34</f>
        <v>2604</v>
      </c>
    </row>
    <row r="35" spans="1:26" x14ac:dyDescent="0.3">
      <c r="A35" t="s">
        <v>259</v>
      </c>
      <c r="B35" s="1">
        <v>45683</v>
      </c>
      <c r="C35" s="9" t="s">
        <v>37</v>
      </c>
      <c r="D35" t="s">
        <v>260</v>
      </c>
      <c r="E35" t="s">
        <v>105</v>
      </c>
      <c r="F35" t="s">
        <v>106</v>
      </c>
      <c r="G35" t="s">
        <v>261</v>
      </c>
      <c r="H35" t="s">
        <v>262</v>
      </c>
      <c r="I35" t="s">
        <v>139</v>
      </c>
      <c r="J35" t="s">
        <v>140</v>
      </c>
      <c r="K35" t="s">
        <v>129</v>
      </c>
      <c r="L35" t="s">
        <v>152</v>
      </c>
      <c r="M35" s="4">
        <v>1</v>
      </c>
      <c r="N35" s="4">
        <v>1751</v>
      </c>
      <c r="O35" s="4">
        <v>1524</v>
      </c>
      <c r="P35" s="4">
        <v>13</v>
      </c>
      <c r="Q35" s="4">
        <f>N35-O35</f>
        <v>227</v>
      </c>
      <c r="R35" t="s">
        <v>263</v>
      </c>
      <c r="S35" t="s">
        <v>96</v>
      </c>
      <c r="T35" t="s">
        <v>36</v>
      </c>
      <c r="U35" s="1">
        <v>45684</v>
      </c>
      <c r="V35" s="1">
        <v>45688</v>
      </c>
      <c r="W35" s="9" t="s">
        <v>38</v>
      </c>
      <c r="Y35" s="4">
        <v>0</v>
      </c>
      <c r="Z35" s="12">
        <f>M35*O35</f>
        <v>1524</v>
      </c>
    </row>
    <row r="36" spans="1:26" x14ac:dyDescent="0.3">
      <c r="A36" t="s">
        <v>329</v>
      </c>
      <c r="B36" s="1">
        <v>45668</v>
      </c>
      <c r="C36" s="11" t="s">
        <v>132</v>
      </c>
      <c r="D36" t="s">
        <v>330</v>
      </c>
      <c r="E36" t="s">
        <v>296</v>
      </c>
      <c r="F36" t="s">
        <v>27</v>
      </c>
      <c r="G36" t="s">
        <v>331</v>
      </c>
      <c r="H36" t="s">
        <v>332</v>
      </c>
      <c r="I36" t="s">
        <v>78</v>
      </c>
      <c r="J36" t="s">
        <v>79</v>
      </c>
      <c r="K36">
        <v>9</v>
      </c>
      <c r="L36" t="s">
        <v>87</v>
      </c>
      <c r="M36" s="4">
        <v>2</v>
      </c>
      <c r="N36" s="4">
        <v>969</v>
      </c>
      <c r="O36" s="4">
        <v>851</v>
      </c>
      <c r="P36" s="4">
        <v>12</v>
      </c>
      <c r="Q36" s="4">
        <f>N36-O36</f>
        <v>118</v>
      </c>
      <c r="R36" t="s">
        <v>333</v>
      </c>
      <c r="S36" t="s">
        <v>35</v>
      </c>
      <c r="T36" t="s">
        <v>59</v>
      </c>
      <c r="W36" s="9" t="s">
        <v>38</v>
      </c>
      <c r="Y36" s="4">
        <v>0</v>
      </c>
      <c r="Z36" s="12">
        <f>M36*O36</f>
        <v>1702</v>
      </c>
    </row>
    <row r="37" spans="1:26" x14ac:dyDescent="0.3">
      <c r="A37" t="s">
        <v>274</v>
      </c>
      <c r="B37" s="1">
        <v>45670</v>
      </c>
      <c r="C37" s="9" t="s">
        <v>37</v>
      </c>
      <c r="D37" t="s">
        <v>275</v>
      </c>
      <c r="E37" t="s">
        <v>26</v>
      </c>
      <c r="F37" t="s">
        <v>27</v>
      </c>
      <c r="G37" t="s">
        <v>276</v>
      </c>
      <c r="H37" t="s">
        <v>277</v>
      </c>
      <c r="I37" t="s">
        <v>54</v>
      </c>
      <c r="J37" t="s">
        <v>109</v>
      </c>
      <c r="K37" t="s">
        <v>115</v>
      </c>
      <c r="L37" t="s">
        <v>130</v>
      </c>
      <c r="M37" s="4">
        <v>3</v>
      </c>
      <c r="N37" s="4">
        <v>623</v>
      </c>
      <c r="O37" s="4">
        <v>553</v>
      </c>
      <c r="P37" s="4">
        <v>11</v>
      </c>
      <c r="Q37" s="4">
        <f>N37-O37</f>
        <v>70</v>
      </c>
      <c r="R37" t="s">
        <v>278</v>
      </c>
      <c r="S37" t="s">
        <v>89</v>
      </c>
      <c r="T37" t="s">
        <v>59</v>
      </c>
      <c r="U37" s="1">
        <v>45671</v>
      </c>
      <c r="V37" s="1">
        <v>45675</v>
      </c>
      <c r="W37" s="9" t="s">
        <v>38</v>
      </c>
      <c r="Y37" s="4">
        <v>0</v>
      </c>
      <c r="Z37" s="12">
        <f>M37*O37</f>
        <v>1659</v>
      </c>
    </row>
    <row r="38" spans="1:26" x14ac:dyDescent="0.3">
      <c r="A38" t="s">
        <v>166</v>
      </c>
      <c r="B38" s="1">
        <v>45678</v>
      </c>
      <c r="C38" s="8" t="s">
        <v>71</v>
      </c>
      <c r="D38" t="s">
        <v>167</v>
      </c>
      <c r="E38" t="s">
        <v>41</v>
      </c>
      <c r="F38" t="s">
        <v>42</v>
      </c>
      <c r="G38" t="s">
        <v>168</v>
      </c>
      <c r="H38" t="s">
        <v>169</v>
      </c>
      <c r="I38" t="s">
        <v>30</v>
      </c>
      <c r="J38" t="s">
        <v>101</v>
      </c>
      <c r="K38" t="s">
        <v>170</v>
      </c>
      <c r="L38" t="s">
        <v>171</v>
      </c>
      <c r="M38" s="13">
        <v>1</v>
      </c>
      <c r="N38" s="4">
        <v>800</v>
      </c>
      <c r="O38" s="4">
        <v>711</v>
      </c>
      <c r="P38" s="4">
        <v>11</v>
      </c>
      <c r="Q38" s="4">
        <f>N38-O38</f>
        <v>89</v>
      </c>
      <c r="R38" t="s">
        <v>172</v>
      </c>
      <c r="S38" t="s">
        <v>124</v>
      </c>
      <c r="T38" t="s">
        <v>59</v>
      </c>
      <c r="U38" s="1">
        <v>45679</v>
      </c>
      <c r="W38" s="9" t="s">
        <v>38</v>
      </c>
      <c r="Y38" s="4">
        <v>0</v>
      </c>
      <c r="Z38" s="12">
        <f>M38*O38</f>
        <v>711</v>
      </c>
    </row>
    <row r="39" spans="1:26" x14ac:dyDescent="0.3">
      <c r="A39" t="s">
        <v>305</v>
      </c>
      <c r="B39" s="1">
        <v>45674</v>
      </c>
      <c r="C39" s="9" t="s">
        <v>37</v>
      </c>
      <c r="D39" t="s">
        <v>306</v>
      </c>
      <c r="E39" t="s">
        <v>26</v>
      </c>
      <c r="F39" t="s">
        <v>27</v>
      </c>
      <c r="G39" t="s">
        <v>307</v>
      </c>
      <c r="H39" t="s">
        <v>308</v>
      </c>
      <c r="I39" t="s">
        <v>30</v>
      </c>
      <c r="J39" t="s">
        <v>31</v>
      </c>
      <c r="K39" t="s">
        <v>115</v>
      </c>
      <c r="L39" t="s">
        <v>158</v>
      </c>
      <c r="M39" s="4">
        <v>1</v>
      </c>
      <c r="N39" s="4">
        <v>1438</v>
      </c>
      <c r="O39" s="4">
        <v>1290</v>
      </c>
      <c r="P39" s="4">
        <v>10</v>
      </c>
      <c r="Q39" s="4">
        <f>N39-O39</f>
        <v>148</v>
      </c>
      <c r="R39" t="s">
        <v>309</v>
      </c>
      <c r="S39" t="s">
        <v>124</v>
      </c>
      <c r="T39" t="s">
        <v>59</v>
      </c>
      <c r="U39" s="1">
        <v>45675</v>
      </c>
      <c r="V39" s="1">
        <v>45679</v>
      </c>
      <c r="W39" s="9" t="s">
        <v>38</v>
      </c>
      <c r="Y39" s="4">
        <v>0</v>
      </c>
      <c r="Z39" s="12">
        <f>M39*O39</f>
        <v>1290</v>
      </c>
    </row>
    <row r="40" spans="1:26" x14ac:dyDescent="0.3">
      <c r="A40" t="s">
        <v>269</v>
      </c>
      <c r="B40" s="1">
        <v>45685</v>
      </c>
      <c r="C40" s="10" t="s">
        <v>60</v>
      </c>
      <c r="D40" t="s">
        <v>270</v>
      </c>
      <c r="E40" t="s">
        <v>26</v>
      </c>
      <c r="F40" t="s">
        <v>27</v>
      </c>
      <c r="G40" t="s">
        <v>271</v>
      </c>
      <c r="H40" t="s">
        <v>272</v>
      </c>
      <c r="I40" t="s">
        <v>54</v>
      </c>
      <c r="J40" t="s">
        <v>55</v>
      </c>
      <c r="K40">
        <v>42</v>
      </c>
      <c r="L40" t="s">
        <v>94</v>
      </c>
      <c r="M40" s="4">
        <v>3</v>
      </c>
      <c r="N40" s="4">
        <v>1939</v>
      </c>
      <c r="O40" s="4">
        <v>1758</v>
      </c>
      <c r="P40" s="4">
        <v>9</v>
      </c>
      <c r="Q40" s="4">
        <f>N40-O40</f>
        <v>181</v>
      </c>
      <c r="R40" t="s">
        <v>273</v>
      </c>
      <c r="S40" t="s">
        <v>232</v>
      </c>
      <c r="T40" t="s">
        <v>59</v>
      </c>
      <c r="U40" s="1">
        <v>45686</v>
      </c>
      <c r="W40" s="10" t="s">
        <v>61</v>
      </c>
      <c r="Y40" s="4">
        <v>1758</v>
      </c>
      <c r="Z40" s="12">
        <f>M40*O40</f>
        <v>5274</v>
      </c>
    </row>
    <row r="41" spans="1:26" x14ac:dyDescent="0.3">
      <c r="A41" t="s">
        <v>161</v>
      </c>
      <c r="B41" s="1">
        <v>45697</v>
      </c>
      <c r="C41" s="8" t="s">
        <v>71</v>
      </c>
      <c r="D41" t="s">
        <v>162</v>
      </c>
      <c r="E41" t="s">
        <v>64</v>
      </c>
      <c r="F41" t="s">
        <v>65</v>
      </c>
      <c r="G41" t="s">
        <v>163</v>
      </c>
      <c r="H41" t="s">
        <v>164</v>
      </c>
      <c r="I41" t="s">
        <v>30</v>
      </c>
      <c r="J41" t="s">
        <v>101</v>
      </c>
      <c r="K41">
        <v>40</v>
      </c>
      <c r="L41" t="s">
        <v>158</v>
      </c>
      <c r="M41" s="13">
        <v>1</v>
      </c>
      <c r="N41" s="4">
        <v>1610</v>
      </c>
      <c r="O41" s="4">
        <v>1473</v>
      </c>
      <c r="P41" s="4">
        <v>9</v>
      </c>
      <c r="Q41" s="4">
        <f>N41-O41</f>
        <v>137</v>
      </c>
      <c r="R41" t="s">
        <v>165</v>
      </c>
      <c r="S41" t="s">
        <v>82</v>
      </c>
      <c r="T41" t="s">
        <v>36</v>
      </c>
      <c r="U41" s="1">
        <v>45698</v>
      </c>
      <c r="W41" s="9" t="s">
        <v>38</v>
      </c>
      <c r="Y41" s="4">
        <v>0</v>
      </c>
      <c r="Z41" s="12">
        <f>M41*O41</f>
        <v>1473</v>
      </c>
    </row>
    <row r="42" spans="1:26" x14ac:dyDescent="0.3">
      <c r="A42" t="s">
        <v>315</v>
      </c>
      <c r="B42" s="1">
        <v>45673</v>
      </c>
      <c r="C42" s="10" t="s">
        <v>60</v>
      </c>
      <c r="D42" t="s">
        <v>316</v>
      </c>
      <c r="E42" t="s">
        <v>119</v>
      </c>
      <c r="F42" t="s">
        <v>120</v>
      </c>
      <c r="G42" t="s">
        <v>317</v>
      </c>
      <c r="H42" t="s">
        <v>318</v>
      </c>
      <c r="I42" t="s">
        <v>30</v>
      </c>
      <c r="J42" t="s">
        <v>31</v>
      </c>
      <c r="K42">
        <v>44</v>
      </c>
      <c r="L42" t="s">
        <v>158</v>
      </c>
      <c r="M42" s="4">
        <v>1</v>
      </c>
      <c r="N42" s="4">
        <v>1051</v>
      </c>
      <c r="O42" s="4">
        <v>960</v>
      </c>
      <c r="P42" s="4">
        <v>9</v>
      </c>
      <c r="Q42" s="4">
        <f>N42-O42</f>
        <v>91</v>
      </c>
      <c r="R42" t="s">
        <v>319</v>
      </c>
      <c r="S42" t="s">
        <v>82</v>
      </c>
      <c r="T42" t="s">
        <v>36</v>
      </c>
      <c r="U42" s="1">
        <v>45674</v>
      </c>
      <c r="W42" s="10" t="s">
        <v>61</v>
      </c>
      <c r="Y42" s="4">
        <v>960</v>
      </c>
      <c r="Z42" s="12">
        <f>M42*O42</f>
        <v>960</v>
      </c>
    </row>
    <row r="43" spans="1:26" x14ac:dyDescent="0.3">
      <c r="A43" t="s">
        <v>324</v>
      </c>
      <c r="B43" s="1">
        <v>45675</v>
      </c>
      <c r="C43" s="10" t="s">
        <v>60</v>
      </c>
      <c r="D43" t="s">
        <v>325</v>
      </c>
      <c r="E43" t="s">
        <v>119</v>
      </c>
      <c r="F43" t="s">
        <v>120</v>
      </c>
      <c r="G43" t="s">
        <v>326</v>
      </c>
      <c r="H43" t="s">
        <v>327</v>
      </c>
      <c r="I43" t="s">
        <v>54</v>
      </c>
      <c r="J43" t="s">
        <v>195</v>
      </c>
      <c r="K43">
        <v>40</v>
      </c>
      <c r="L43" t="s">
        <v>152</v>
      </c>
      <c r="M43" s="4">
        <v>3</v>
      </c>
      <c r="N43" s="4">
        <v>1421</v>
      </c>
      <c r="O43" s="4">
        <v>1304</v>
      </c>
      <c r="P43" s="4">
        <v>8</v>
      </c>
      <c r="Q43" s="4">
        <f>N43-O43</f>
        <v>117</v>
      </c>
      <c r="R43" t="s">
        <v>328</v>
      </c>
      <c r="S43" t="s">
        <v>124</v>
      </c>
      <c r="T43" t="s">
        <v>36</v>
      </c>
      <c r="U43" s="1">
        <v>45676</v>
      </c>
      <c r="W43" s="10" t="s">
        <v>61</v>
      </c>
      <c r="Y43" s="4">
        <v>1304</v>
      </c>
      <c r="Z43" s="12">
        <f>M43*O43</f>
        <v>3912</v>
      </c>
    </row>
    <row r="44" spans="1:26" x14ac:dyDescent="0.3">
      <c r="A44" t="s">
        <v>212</v>
      </c>
      <c r="B44" s="1">
        <v>45663</v>
      </c>
      <c r="C44" s="8" t="s">
        <v>71</v>
      </c>
      <c r="D44" t="s">
        <v>213</v>
      </c>
      <c r="E44" t="s">
        <v>41</v>
      </c>
      <c r="F44" t="s">
        <v>42</v>
      </c>
      <c r="G44" t="s">
        <v>214</v>
      </c>
      <c r="H44" t="s">
        <v>215</v>
      </c>
      <c r="I44" t="s">
        <v>54</v>
      </c>
      <c r="J44" t="s">
        <v>68</v>
      </c>
      <c r="K44" t="s">
        <v>129</v>
      </c>
      <c r="L44" t="s">
        <v>158</v>
      </c>
      <c r="M44" s="13">
        <v>1</v>
      </c>
      <c r="N44" s="4">
        <v>1713</v>
      </c>
      <c r="O44" s="4">
        <v>1574</v>
      </c>
      <c r="P44" s="4">
        <v>8</v>
      </c>
      <c r="Q44" s="4">
        <f>N44-O44</f>
        <v>139</v>
      </c>
      <c r="R44" t="s">
        <v>216</v>
      </c>
      <c r="S44" t="s">
        <v>124</v>
      </c>
      <c r="T44" t="s">
        <v>36</v>
      </c>
      <c r="U44" s="1">
        <v>45664</v>
      </c>
      <c r="W44" s="9" t="s">
        <v>38</v>
      </c>
      <c r="Y44" s="4">
        <v>0</v>
      </c>
      <c r="Z44" s="12">
        <f>M44*O44</f>
        <v>1574</v>
      </c>
    </row>
    <row r="45" spans="1:26" x14ac:dyDescent="0.3">
      <c r="A45" t="s">
        <v>97</v>
      </c>
      <c r="B45" s="1">
        <v>45694</v>
      </c>
      <c r="C45" s="8" t="s">
        <v>71</v>
      </c>
      <c r="D45" t="s">
        <v>98</v>
      </c>
      <c r="E45" t="s">
        <v>26</v>
      </c>
      <c r="F45" t="s">
        <v>27</v>
      </c>
      <c r="G45" t="s">
        <v>99</v>
      </c>
      <c r="H45" t="s">
        <v>100</v>
      </c>
      <c r="I45" t="s">
        <v>30</v>
      </c>
      <c r="J45" t="s">
        <v>101</v>
      </c>
      <c r="K45">
        <v>40</v>
      </c>
      <c r="L45" t="s">
        <v>33</v>
      </c>
      <c r="M45" s="13">
        <v>3</v>
      </c>
      <c r="N45" s="4">
        <v>1952</v>
      </c>
      <c r="O45" s="4">
        <v>1812</v>
      </c>
      <c r="P45" s="4">
        <v>7</v>
      </c>
      <c r="Q45" s="4">
        <f>N45-O45</f>
        <v>140</v>
      </c>
      <c r="R45" t="s">
        <v>102</v>
      </c>
      <c r="S45" t="s">
        <v>82</v>
      </c>
      <c r="T45" t="s">
        <v>59</v>
      </c>
      <c r="U45" s="1">
        <v>45695</v>
      </c>
      <c r="W45" s="9" t="s">
        <v>38</v>
      </c>
      <c r="Y45" s="4">
        <v>0</v>
      </c>
      <c r="Z45" s="12">
        <f>M45*O45</f>
        <v>5436</v>
      </c>
    </row>
    <row r="46" spans="1:26" x14ac:dyDescent="0.3">
      <c r="A46" t="s">
        <v>154</v>
      </c>
      <c r="B46" s="1">
        <v>45668</v>
      </c>
      <c r="C46" s="10" t="s">
        <v>60</v>
      </c>
      <c r="D46" t="s">
        <v>155</v>
      </c>
      <c r="E46" t="s">
        <v>105</v>
      </c>
      <c r="F46" t="s">
        <v>106</v>
      </c>
      <c r="G46" t="s">
        <v>156</v>
      </c>
      <c r="H46" t="s">
        <v>157</v>
      </c>
      <c r="I46" t="s">
        <v>30</v>
      </c>
      <c r="J46" t="s">
        <v>79</v>
      </c>
      <c r="K46" t="s">
        <v>56</v>
      </c>
      <c r="L46" t="s">
        <v>158</v>
      </c>
      <c r="M46" s="13">
        <v>1</v>
      </c>
      <c r="N46" s="4">
        <v>1943</v>
      </c>
      <c r="O46" s="4">
        <v>1802</v>
      </c>
      <c r="P46" s="4">
        <v>7</v>
      </c>
      <c r="Q46" s="4">
        <f>N46-O46</f>
        <v>141</v>
      </c>
      <c r="R46" t="s">
        <v>159</v>
      </c>
      <c r="S46" t="s">
        <v>160</v>
      </c>
      <c r="T46" t="s">
        <v>36</v>
      </c>
      <c r="U46" s="1">
        <v>45669</v>
      </c>
      <c r="W46" s="10" t="s">
        <v>61</v>
      </c>
      <c r="Y46" s="4">
        <v>1802</v>
      </c>
      <c r="Z46" s="12">
        <f>M46*O46</f>
        <v>1802</v>
      </c>
    </row>
    <row r="47" spans="1:26" x14ac:dyDescent="0.3">
      <c r="A47" t="s">
        <v>90</v>
      </c>
      <c r="B47" s="1">
        <v>45693</v>
      </c>
      <c r="C47" s="8" t="s">
        <v>71</v>
      </c>
      <c r="D47" t="s">
        <v>91</v>
      </c>
      <c r="E47" t="s">
        <v>74</v>
      </c>
      <c r="F47" t="s">
        <v>75</v>
      </c>
      <c r="G47" t="s">
        <v>92</v>
      </c>
      <c r="H47" t="s">
        <v>93</v>
      </c>
      <c r="I47" t="s">
        <v>45</v>
      </c>
      <c r="J47" t="s">
        <v>46</v>
      </c>
      <c r="K47">
        <v>42</v>
      </c>
      <c r="L47" t="s">
        <v>94</v>
      </c>
      <c r="M47" s="13">
        <v>1</v>
      </c>
      <c r="N47" s="4">
        <v>1494</v>
      </c>
      <c r="O47" s="4">
        <v>1385</v>
      </c>
      <c r="P47" s="4">
        <v>7</v>
      </c>
      <c r="Q47" s="4">
        <f>N47-O47</f>
        <v>109</v>
      </c>
      <c r="R47" t="s">
        <v>95</v>
      </c>
      <c r="S47" t="s">
        <v>96</v>
      </c>
      <c r="T47" t="s">
        <v>59</v>
      </c>
      <c r="U47" s="1">
        <v>45694</v>
      </c>
      <c r="W47" s="9" t="s">
        <v>38</v>
      </c>
      <c r="Y47" s="4">
        <v>0</v>
      </c>
      <c r="Z47" s="12">
        <f>M47*O47</f>
        <v>1385</v>
      </c>
    </row>
    <row r="48" spans="1:26" x14ac:dyDescent="0.3">
      <c r="A48" t="s">
        <v>24</v>
      </c>
      <c r="B48" s="1">
        <v>45687</v>
      </c>
      <c r="C48" s="9" t="s">
        <v>37</v>
      </c>
      <c r="D48" t="s">
        <v>25</v>
      </c>
      <c r="E48" t="s">
        <v>26</v>
      </c>
      <c r="F48" t="s">
        <v>27</v>
      </c>
      <c r="G48" t="s">
        <v>28</v>
      </c>
      <c r="H48" t="s">
        <v>29</v>
      </c>
      <c r="I48" t="s">
        <v>30</v>
      </c>
      <c r="J48" t="s">
        <v>31</v>
      </c>
      <c r="K48" t="s">
        <v>32</v>
      </c>
      <c r="L48" t="s">
        <v>33</v>
      </c>
      <c r="M48" s="4">
        <v>1</v>
      </c>
      <c r="N48" s="4">
        <v>1469</v>
      </c>
      <c r="O48" s="4">
        <v>1368</v>
      </c>
      <c r="P48" s="4">
        <v>7</v>
      </c>
      <c r="Q48" s="4">
        <f>N48-O48</f>
        <v>101</v>
      </c>
      <c r="R48" t="s">
        <v>34</v>
      </c>
      <c r="S48" t="s">
        <v>35</v>
      </c>
      <c r="T48" t="s">
        <v>36</v>
      </c>
      <c r="U48" s="1">
        <v>45688</v>
      </c>
      <c r="V48" s="1">
        <v>45692</v>
      </c>
      <c r="W48" s="9" t="s">
        <v>38</v>
      </c>
      <c r="Y48" s="4">
        <v>0</v>
      </c>
      <c r="Z48" s="12">
        <f>M48*O48</f>
        <v>1368</v>
      </c>
    </row>
    <row r="49" spans="1:26" x14ac:dyDescent="0.3">
      <c r="A49" t="s">
        <v>310</v>
      </c>
      <c r="B49" s="1">
        <v>45658</v>
      </c>
      <c r="C49" s="10" t="s">
        <v>60</v>
      </c>
      <c r="D49" t="s">
        <v>311</v>
      </c>
      <c r="E49" t="s">
        <v>119</v>
      </c>
      <c r="F49" t="s">
        <v>120</v>
      </c>
      <c r="G49" t="s">
        <v>312</v>
      </c>
      <c r="H49" t="s">
        <v>313</v>
      </c>
      <c r="I49" t="s">
        <v>30</v>
      </c>
      <c r="J49" t="s">
        <v>79</v>
      </c>
      <c r="K49">
        <v>9</v>
      </c>
      <c r="L49" t="s">
        <v>80</v>
      </c>
      <c r="M49" s="4">
        <v>1</v>
      </c>
      <c r="N49" s="4">
        <v>1216</v>
      </c>
      <c r="O49" s="4">
        <v>1158</v>
      </c>
      <c r="P49" s="4">
        <v>5</v>
      </c>
      <c r="Q49" s="4">
        <f>N49-O49</f>
        <v>58</v>
      </c>
      <c r="R49" t="s">
        <v>314</v>
      </c>
      <c r="S49" t="s">
        <v>160</v>
      </c>
      <c r="T49" t="s">
        <v>36</v>
      </c>
      <c r="U49" s="1">
        <v>45659</v>
      </c>
      <c r="W49" s="10" t="s">
        <v>61</v>
      </c>
      <c r="Y49" s="4">
        <v>1158</v>
      </c>
      <c r="Z49" s="12">
        <f>M49*O49</f>
        <v>1158</v>
      </c>
    </row>
    <row r="50" spans="1:26" x14ac:dyDescent="0.3">
      <c r="A50" t="s">
        <v>320</v>
      </c>
      <c r="B50" s="1">
        <v>45683</v>
      </c>
      <c r="C50" s="8" t="s">
        <v>71</v>
      </c>
      <c r="D50" t="s">
        <v>321</v>
      </c>
      <c r="E50" t="s">
        <v>26</v>
      </c>
      <c r="F50" t="s">
        <v>27</v>
      </c>
      <c r="G50" t="s">
        <v>322</v>
      </c>
      <c r="H50" t="s">
        <v>323</v>
      </c>
      <c r="I50" t="s">
        <v>54</v>
      </c>
      <c r="J50" t="s">
        <v>55</v>
      </c>
      <c r="K50">
        <v>38</v>
      </c>
      <c r="L50" t="s">
        <v>152</v>
      </c>
      <c r="M50" s="4">
        <v>1</v>
      </c>
      <c r="N50" s="4">
        <v>1212</v>
      </c>
      <c r="O50" s="4">
        <v>1152</v>
      </c>
      <c r="P50" s="4">
        <v>5</v>
      </c>
      <c r="Q50" s="4">
        <f>N50-O50</f>
        <v>60</v>
      </c>
      <c r="R50" t="s">
        <v>211</v>
      </c>
      <c r="S50" t="s">
        <v>35</v>
      </c>
      <c r="T50" t="s">
        <v>36</v>
      </c>
      <c r="U50" s="1">
        <v>45684</v>
      </c>
      <c r="W50" s="9" t="s">
        <v>38</v>
      </c>
      <c r="Y50" s="4">
        <v>0</v>
      </c>
      <c r="Z50" s="12">
        <f>M50*O50</f>
        <v>1152</v>
      </c>
    </row>
    <row r="51" spans="1:26" x14ac:dyDescent="0.3">
      <c r="A51" t="s">
        <v>191</v>
      </c>
      <c r="B51" s="1">
        <v>45659</v>
      </c>
      <c r="C51" s="8" t="s">
        <v>71</v>
      </c>
      <c r="D51" t="s">
        <v>192</v>
      </c>
      <c r="E51" t="s">
        <v>26</v>
      </c>
      <c r="F51" t="s">
        <v>27</v>
      </c>
      <c r="G51" t="s">
        <v>193</v>
      </c>
      <c r="H51" t="s">
        <v>194</v>
      </c>
      <c r="I51" t="s">
        <v>54</v>
      </c>
      <c r="J51" t="s">
        <v>195</v>
      </c>
      <c r="K51" t="s">
        <v>129</v>
      </c>
      <c r="L51" t="s">
        <v>94</v>
      </c>
      <c r="M51" s="13">
        <v>1</v>
      </c>
      <c r="N51" s="4">
        <v>1470</v>
      </c>
      <c r="O51" s="4">
        <v>1406</v>
      </c>
      <c r="P51" s="4">
        <v>4</v>
      </c>
      <c r="Q51" s="4">
        <f>N51-O51</f>
        <v>64</v>
      </c>
      <c r="R51" t="s">
        <v>196</v>
      </c>
      <c r="S51" t="s">
        <v>82</v>
      </c>
      <c r="T51" t="s">
        <v>59</v>
      </c>
      <c r="U51" s="1">
        <v>45660</v>
      </c>
      <c r="W51" s="9" t="s">
        <v>38</v>
      </c>
      <c r="Y51" s="4">
        <v>0</v>
      </c>
      <c r="Z51" s="12">
        <f>M51*O51</f>
        <v>1406</v>
      </c>
    </row>
  </sheetData>
  <autoFilter ref="A1:Z51" xr:uid="{9EBE040D-9A97-40B2-B7D0-41B7DC7FCDDC}">
    <sortState xmlns:xlrd2="http://schemas.microsoft.com/office/spreadsheetml/2017/richdata2" ref="A2:Z51">
      <sortCondition descending="1" ref="P1:P51"/>
    </sortState>
  </autoFilter>
  <conditionalFormatting sqref="C2:C51">
    <cfRule type="containsText" dxfId="3" priority="27" operator="containsText" text="Delivered">
      <formula>NOT(ISERROR(SEARCH("Delivered",C2)))</formula>
    </cfRule>
  </conditionalFormatting>
  <conditionalFormatting sqref="C5:C51">
    <cfRule type="containsText" dxfId="2" priority="26" operator="containsText" text="Out for Delivery">
      <formula>NOT(ISERROR(SEARCH("Out for Delivery",C5)))</formula>
    </cfRule>
  </conditionalFormatting>
  <conditionalFormatting sqref="M2:M51">
    <cfRule type="dataBar" priority="23">
      <dataBar>
        <cfvo type="min"/>
        <cfvo type="max"/>
        <color rgb="FFB4A7D6"/>
      </dataBar>
      <extLst>
        <ext xmlns:x14="http://schemas.microsoft.com/office/spreadsheetml/2009/9/main" uri="{B025F937-C7B1-47D3-B67F-A62EFF666E3E}">
          <x14:id>{98205465-F51E-4A1D-BC57-76AAC4A00B3F}</x14:id>
        </ext>
      </extLst>
    </cfRule>
    <cfRule type="dataBar" priority="24">
      <dataBar>
        <cfvo type="min"/>
        <cfvo type="max"/>
        <color rgb="FF7030A0"/>
      </dataBar>
      <extLst>
        <ext xmlns:x14="http://schemas.microsoft.com/office/spreadsheetml/2009/9/main" uri="{B025F937-C7B1-47D3-B67F-A62EFF666E3E}">
          <x14:id>{4494411E-61F5-4552-9FAF-F44A850DF0F5}</x14:id>
        </ext>
      </extLst>
    </cfRule>
  </conditionalFormatting>
  <conditionalFormatting sqref="Y2:Y51">
    <cfRule type="dataBar" priority="20">
      <dataBar>
        <cfvo type="min"/>
        <cfvo type="max"/>
        <color rgb="FFF4CCCC"/>
      </dataBar>
      <extLst>
        <ext xmlns:x14="http://schemas.microsoft.com/office/spreadsheetml/2009/9/main" uri="{B025F937-C7B1-47D3-B67F-A62EFF666E3E}">
          <x14:id>{E968B62C-E496-4917-A52B-E9149C072E44}</x14:id>
        </ext>
      </extLst>
    </cfRule>
    <cfRule type="dataBar" priority="2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{59B532B8-0881-4CCC-B146-90B626602010}</x14:id>
        </ext>
      </extLst>
    </cfRule>
  </conditionalFormatting>
  <conditionalFormatting sqref="Z2:Z51">
    <cfRule type="dataBar" priority="14">
      <dataBar>
        <cfvo type="min"/>
        <cfvo type="max"/>
        <color rgb="FFB4A7D6"/>
      </dataBar>
      <extLst>
        <ext xmlns:x14="http://schemas.microsoft.com/office/spreadsheetml/2009/9/main" uri="{B025F937-C7B1-47D3-B67F-A62EFF666E3E}">
          <x14:id>{C5D7488C-5DAB-4A05-B853-A5A04A88E7FF}</x14:id>
        </ext>
      </extLst>
    </cfRule>
  </conditionalFormatting>
  <conditionalFormatting sqref="P2:P6">
    <cfRule type="dataBar" priority="3">
      <dataBar>
        <cfvo type="min"/>
        <cfvo type="max"/>
        <color rgb="FFB4A7D6"/>
      </dataBar>
      <extLst>
        <ext xmlns:x14="http://schemas.microsoft.com/office/spreadsheetml/2009/9/main" uri="{B025F937-C7B1-47D3-B67F-A62EFF666E3E}">
          <x14:id>{78004FAD-24BA-44C1-AD82-FFB9B69854BE}</x14:id>
        </ext>
      </extLst>
    </cfRule>
  </conditionalFormatting>
  <conditionalFormatting sqref="P7:P23">
    <cfRule type="dataBar" priority="2">
      <dataBar>
        <cfvo type="min"/>
        <cfvo type="max"/>
        <color rgb="FFD9D2E9"/>
      </dataBar>
      <extLst>
        <ext xmlns:x14="http://schemas.microsoft.com/office/spreadsheetml/2009/9/main" uri="{B025F937-C7B1-47D3-B67F-A62EFF666E3E}">
          <x14:id>{CA2292A3-3C6E-4678-9E64-0BC3AB9B3B11}</x14:id>
        </ext>
      </extLst>
    </cfRule>
  </conditionalFormatting>
  <conditionalFormatting sqref="P24:P51">
    <cfRule type="dataBar" priority="1">
      <dataBar>
        <cfvo type="min"/>
        <cfvo type="max"/>
        <color rgb="FFE4DFEC"/>
      </dataBar>
      <extLst>
        <ext xmlns:x14="http://schemas.microsoft.com/office/spreadsheetml/2009/9/main" uri="{B025F937-C7B1-47D3-B67F-A62EFF666E3E}">
          <x14:id>{86901F8D-2F6F-4A50-B812-1F1B20D88352}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8205465-F51E-4A1D-BC57-76AAC4A00B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494411E-61F5-4552-9FAF-F44A850DF0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M2:M51</xm:sqref>
        </x14:conditionalFormatting>
        <x14:conditionalFormatting xmlns:xm="http://schemas.microsoft.com/office/excel/2006/main">
          <x14:cfRule type="dataBar" id="{E968B62C-E496-4917-A52B-E9149C072E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9B532B8-0881-4CCC-B146-90B6266020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Y2:Y51</xm:sqref>
        </x14:conditionalFormatting>
        <x14:conditionalFormatting xmlns:xm="http://schemas.microsoft.com/office/excel/2006/main">
          <x14:cfRule type="dataBar" id="{C5D7488C-5DAB-4A05-B853-A5A04A88E7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Z2:Z51</xm:sqref>
        </x14:conditionalFormatting>
        <x14:conditionalFormatting xmlns:xm="http://schemas.microsoft.com/office/excel/2006/main">
          <x14:cfRule type="dataBar" id="{78004FAD-24BA-44C1-AD82-FFB9B69854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P2:P6</xm:sqref>
        </x14:conditionalFormatting>
        <x14:conditionalFormatting xmlns:xm="http://schemas.microsoft.com/office/excel/2006/main">
          <x14:cfRule type="dataBar" id="{CA2292A3-3C6E-4678-9E64-0BC3AB9B3B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P7:P23</xm:sqref>
        </x14:conditionalFormatting>
        <x14:conditionalFormatting xmlns:xm="http://schemas.microsoft.com/office/excel/2006/main">
          <x14:cfRule type="dataBar" id="{86901F8D-2F6F-4A50-B812-1F1B20D883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P24:P51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Pivot_Sales_Category</vt:lpstr>
      <vt:lpstr>Pivot_Orders_Category</vt:lpstr>
      <vt:lpstr>Pivot_Sales_State</vt:lpstr>
      <vt:lpstr>Pivot_Order_Status</vt:lpstr>
      <vt:lpstr>meesho_order_data_2025_50rows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R S S SRI LALITHA</dc:creator>
  <cp:lastModifiedBy>G R S S SRI LALITHA</cp:lastModifiedBy>
  <dcterms:created xsi:type="dcterms:W3CDTF">2026-08-14T06:21:11Z</dcterms:created>
  <dcterms:modified xsi:type="dcterms:W3CDTF">2026-08-18T11:47:23Z</dcterms:modified>
</cp:coreProperties>
</file>